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Ex2.xml" ContentType="application/vnd.ms-office.chartex+xml"/>
  <Override PartName="/xl/charts/style4.xml" ContentType="application/vnd.ms-office.chartstyle+xml"/>
  <Override PartName="/xl/charts/colors4.xml" ContentType="application/vnd.ms-office.chartcolorstyle+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charts/chartEx3.xml" ContentType="application/vnd.ms-office.chartex+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workbookPr defaultThemeVersion="166925"/>
  <mc:AlternateContent xmlns:mc="http://schemas.openxmlformats.org/markup-compatibility/2006">
    <mc:Choice Requires="x15">
      <x15ac:absPath xmlns:x15ac="http://schemas.microsoft.com/office/spreadsheetml/2010/11/ac" url="C:\Users\Vinicius\Desktop\Projetos\EDAs\Top250rests\"/>
    </mc:Choice>
  </mc:AlternateContent>
  <xr:revisionPtr revIDLastSave="0" documentId="13_ncr:1_{3BAD45E3-981B-46A1-9218-6D0B0A198873}" xr6:coauthVersionLast="46" xr6:coauthVersionMax="46" xr10:uidLastSave="{00000000-0000-0000-0000-000000000000}"/>
  <bookViews>
    <workbookView xWindow="-120" yWindow="-120" windowWidth="20730" windowHeight="11160" activeTab="3" xr2:uid="{00000000-000D-0000-FFFF-FFFF00000000}"/>
  </bookViews>
  <sheets>
    <sheet name="Top250" sheetId="1" r:id="rId1"/>
    <sheet name="Sheet7" sheetId="8" r:id="rId2"/>
    <sheet name="Pré processamento" sheetId="3" r:id="rId3"/>
    <sheet name="Dashboard" sheetId="5" r:id="rId4"/>
  </sheets>
  <definedNames>
    <definedName name="_xlchart.v1.0" hidden="1">Dashboard!$J$41:$J$79</definedName>
    <definedName name="_xlchart.v1.1" hidden="1">Dashboard!$K$41:$K$79</definedName>
    <definedName name="_xlchart.v1.10" hidden="1">Dashboard!$H$82:$H$108</definedName>
    <definedName name="_xlchart.v1.11" hidden="1">Dashboard!$I$82:$I$108</definedName>
    <definedName name="_xlchart.v1.2" hidden="1">Dashboard!$E$50:$E$97</definedName>
    <definedName name="_xlchart.v1.3" hidden="1">Dashboard!$F$50:$F$97</definedName>
    <definedName name="_xlchart.v1.4" hidden="1">Dashboard!$J$41:$J$79</definedName>
    <definedName name="_xlchart.v1.5" hidden="1">Dashboard!$K$41:$K$79</definedName>
    <definedName name="_xlchart.v2.6" hidden="1">Dashboard!$H$77:$H$103</definedName>
    <definedName name="_xlchart.v2.7" hidden="1">Dashboard!$H$82:$H$108</definedName>
    <definedName name="_xlchart.v2.8" hidden="1">Dashboard!$I$77:$I$103</definedName>
    <definedName name="_xlchart.v2.9" hidden="1">Dashboard!$I$82:$I$108</definedName>
  </definedNames>
  <calcPr calcId="191029"/>
  <pivotCaches>
    <pivotCache cacheId="25" r:id="rId5"/>
  </pivotCaches>
</workbook>
</file>

<file path=xl/calcChain.xml><?xml version="1.0" encoding="utf-8"?>
<calcChain xmlns="http://schemas.openxmlformats.org/spreadsheetml/2006/main">
  <c r="I109" i="5" l="1"/>
  <c r="I21" i="5"/>
  <c r="H6" i="3"/>
  <c r="I6" i="3"/>
  <c r="J6" i="3"/>
  <c r="H8" i="3"/>
  <c r="I8" i="3"/>
  <c r="J8" i="3"/>
  <c r="H9" i="3"/>
  <c r="I9" i="3"/>
  <c r="J9" i="3"/>
  <c r="H12" i="3"/>
  <c r="I12" i="3"/>
  <c r="J12" i="3"/>
  <c r="H14" i="3"/>
  <c r="I14" i="3"/>
  <c r="J14" i="3"/>
  <c r="H15" i="3"/>
  <c r="I15" i="3"/>
  <c r="J15" i="3"/>
  <c r="H19" i="3"/>
  <c r="I19" i="3"/>
  <c r="J19" i="3"/>
  <c r="H20" i="3"/>
  <c r="I20" i="3"/>
  <c r="J20" i="3"/>
  <c r="H21" i="3"/>
  <c r="I21" i="3"/>
  <c r="J21" i="3"/>
  <c r="H24" i="3"/>
  <c r="I24" i="3"/>
  <c r="J24" i="3"/>
  <c r="H25" i="3"/>
  <c r="I25" i="3"/>
  <c r="J25" i="3"/>
  <c r="H28" i="3"/>
  <c r="I28" i="3"/>
  <c r="J28" i="3"/>
  <c r="H29" i="3"/>
  <c r="I29" i="3"/>
  <c r="J29" i="3"/>
  <c r="H30" i="3"/>
  <c r="I30" i="3"/>
  <c r="J30" i="3"/>
  <c r="H31" i="3"/>
  <c r="I31" i="3"/>
  <c r="J31" i="3"/>
  <c r="H33" i="3"/>
  <c r="I33" i="3"/>
  <c r="J33" i="3"/>
  <c r="H34" i="3"/>
  <c r="I34" i="3"/>
  <c r="J34" i="3"/>
  <c r="H36" i="3"/>
  <c r="I36" i="3"/>
  <c r="J36" i="3"/>
  <c r="H38" i="3"/>
  <c r="I38" i="3"/>
  <c r="J38" i="3"/>
  <c r="H39" i="3"/>
  <c r="I39" i="3"/>
  <c r="J39" i="3"/>
  <c r="H42" i="3"/>
  <c r="I42" i="3"/>
  <c r="J42" i="3"/>
  <c r="H43" i="3"/>
  <c r="I43" i="3"/>
  <c r="J43" i="3"/>
  <c r="H44" i="3"/>
  <c r="I44" i="3"/>
  <c r="J44" i="3"/>
  <c r="H45" i="3"/>
  <c r="I45" i="3"/>
  <c r="J45" i="3"/>
  <c r="H46" i="3"/>
  <c r="I46" i="3"/>
  <c r="J46" i="3"/>
  <c r="H47" i="3"/>
  <c r="I47" i="3"/>
  <c r="J47" i="3"/>
  <c r="H48" i="3"/>
  <c r="I48" i="3"/>
  <c r="J48" i="3"/>
  <c r="H49" i="3"/>
  <c r="I49" i="3"/>
  <c r="J49" i="3"/>
  <c r="H50" i="3"/>
  <c r="I50" i="3"/>
  <c r="J50" i="3"/>
  <c r="H51" i="3"/>
  <c r="I51" i="3"/>
  <c r="J51" i="3"/>
  <c r="H52" i="3"/>
  <c r="I52" i="3"/>
  <c r="J52" i="3"/>
  <c r="H54" i="3"/>
  <c r="I54" i="3"/>
  <c r="J54" i="3"/>
  <c r="H55" i="3"/>
  <c r="I55" i="3"/>
  <c r="J55" i="3"/>
  <c r="H57" i="3"/>
  <c r="I57" i="3"/>
  <c r="J57" i="3"/>
  <c r="H58" i="3"/>
  <c r="I58" i="3"/>
  <c r="J58" i="3"/>
  <c r="H59" i="3"/>
  <c r="I59" i="3"/>
  <c r="J59" i="3"/>
  <c r="H60" i="3"/>
  <c r="I60" i="3"/>
  <c r="J60" i="3"/>
  <c r="H61" i="3"/>
  <c r="I61" i="3"/>
  <c r="J61" i="3"/>
  <c r="H62" i="3"/>
  <c r="I62" i="3"/>
  <c r="J62" i="3"/>
  <c r="H63" i="3"/>
  <c r="I63" i="3"/>
  <c r="J63" i="3"/>
  <c r="H64" i="3"/>
  <c r="I64" i="3"/>
  <c r="J64" i="3"/>
  <c r="H65" i="3"/>
  <c r="I65" i="3"/>
  <c r="J65" i="3"/>
  <c r="H66" i="3"/>
  <c r="I66" i="3"/>
  <c r="J66" i="3"/>
  <c r="H67" i="3"/>
  <c r="I67" i="3"/>
  <c r="J67" i="3"/>
  <c r="H69" i="3"/>
  <c r="I69" i="3"/>
  <c r="J69" i="3"/>
  <c r="H70" i="3"/>
  <c r="I70" i="3"/>
  <c r="J70" i="3"/>
  <c r="H71" i="3"/>
  <c r="I71" i="3"/>
  <c r="J71" i="3"/>
  <c r="H72" i="3"/>
  <c r="I72" i="3"/>
  <c r="J72" i="3"/>
  <c r="H73" i="3"/>
  <c r="I73" i="3"/>
  <c r="J73" i="3"/>
  <c r="H74" i="3"/>
  <c r="I74" i="3"/>
  <c r="J74" i="3"/>
  <c r="H75" i="3"/>
  <c r="I75" i="3"/>
  <c r="J75" i="3"/>
  <c r="H76" i="3"/>
  <c r="I76" i="3"/>
  <c r="J76" i="3"/>
  <c r="H77" i="3"/>
  <c r="I77" i="3"/>
  <c r="J77" i="3"/>
  <c r="H80" i="3"/>
  <c r="I80" i="3"/>
  <c r="J80" i="3"/>
  <c r="H82" i="3"/>
  <c r="I82" i="3"/>
  <c r="J82" i="3"/>
  <c r="H83" i="3"/>
  <c r="I83" i="3"/>
  <c r="J83" i="3"/>
  <c r="H84" i="3"/>
  <c r="I84" i="3"/>
  <c r="J84" i="3"/>
  <c r="H85" i="3"/>
  <c r="I85" i="3"/>
  <c r="J85" i="3"/>
  <c r="H86" i="3"/>
  <c r="I86" i="3"/>
  <c r="J86" i="3"/>
  <c r="H87" i="3"/>
  <c r="I87" i="3"/>
  <c r="J87" i="3"/>
  <c r="H89" i="3"/>
  <c r="I89" i="3"/>
  <c r="J89" i="3"/>
  <c r="H90" i="3"/>
  <c r="I90" i="3"/>
  <c r="J90" i="3"/>
  <c r="H91" i="3"/>
  <c r="I91" i="3"/>
  <c r="J91" i="3"/>
  <c r="H92" i="3"/>
  <c r="I92" i="3"/>
  <c r="J92" i="3"/>
  <c r="H93" i="3"/>
  <c r="I93" i="3"/>
  <c r="J93" i="3"/>
  <c r="H95" i="3"/>
  <c r="I95" i="3"/>
  <c r="J95" i="3"/>
  <c r="H96" i="3"/>
  <c r="I96" i="3"/>
  <c r="J96" i="3"/>
  <c r="H98" i="3"/>
  <c r="I98" i="3"/>
  <c r="J98" i="3"/>
  <c r="H99" i="3"/>
  <c r="I99" i="3"/>
  <c r="J99" i="3"/>
  <c r="H100" i="3"/>
  <c r="I100" i="3"/>
  <c r="J100" i="3"/>
  <c r="H101" i="3"/>
  <c r="I101" i="3"/>
  <c r="J101" i="3"/>
  <c r="H102" i="3"/>
  <c r="I102" i="3"/>
  <c r="J102" i="3"/>
  <c r="H109" i="3"/>
  <c r="I109" i="3"/>
  <c r="J109" i="3"/>
  <c r="H110" i="3"/>
  <c r="I110" i="3"/>
  <c r="J110" i="3"/>
  <c r="H111" i="3"/>
  <c r="I111" i="3"/>
  <c r="J111" i="3"/>
  <c r="H112" i="3"/>
  <c r="I112" i="3"/>
  <c r="J112" i="3"/>
  <c r="H114" i="3"/>
  <c r="I114" i="3"/>
  <c r="J114" i="3"/>
  <c r="H121" i="3"/>
  <c r="I121" i="3"/>
  <c r="J121" i="3"/>
  <c r="H123" i="3"/>
  <c r="I123" i="3"/>
  <c r="J123" i="3"/>
  <c r="H124" i="3"/>
  <c r="I124" i="3"/>
  <c r="J124" i="3"/>
  <c r="H125" i="3"/>
  <c r="I125" i="3"/>
  <c r="J125" i="3"/>
  <c r="H126" i="3"/>
  <c r="I126" i="3"/>
  <c r="J126" i="3"/>
  <c r="H127" i="3"/>
  <c r="I127" i="3"/>
  <c r="J127" i="3"/>
  <c r="H128" i="3"/>
  <c r="I128" i="3"/>
  <c r="J128" i="3"/>
  <c r="H129" i="3"/>
  <c r="I129" i="3"/>
  <c r="J129" i="3"/>
  <c r="H130" i="3"/>
  <c r="I130" i="3"/>
  <c r="J130" i="3"/>
  <c r="H131" i="3"/>
  <c r="I131" i="3"/>
  <c r="J131" i="3"/>
  <c r="H132" i="3"/>
  <c r="I132" i="3"/>
  <c r="J132" i="3"/>
  <c r="H133" i="3"/>
  <c r="I133" i="3"/>
  <c r="J133" i="3"/>
  <c r="H134" i="3"/>
  <c r="I134" i="3"/>
  <c r="J134" i="3"/>
  <c r="H135" i="3"/>
  <c r="I135" i="3"/>
  <c r="J135" i="3"/>
  <c r="H136" i="3"/>
  <c r="I136" i="3"/>
  <c r="J136" i="3"/>
  <c r="H137" i="3"/>
  <c r="I137" i="3"/>
  <c r="J137" i="3"/>
  <c r="H139" i="3"/>
  <c r="I139" i="3"/>
  <c r="J139" i="3"/>
  <c r="H140" i="3"/>
  <c r="I140" i="3"/>
  <c r="J140" i="3"/>
  <c r="H141" i="3"/>
  <c r="I141" i="3"/>
  <c r="J141" i="3"/>
  <c r="H142" i="3"/>
  <c r="I142" i="3"/>
  <c r="J142" i="3"/>
  <c r="H143" i="3"/>
  <c r="I143" i="3"/>
  <c r="J143" i="3"/>
  <c r="H144" i="3"/>
  <c r="I144" i="3"/>
  <c r="J144" i="3"/>
  <c r="H145" i="3"/>
  <c r="I145" i="3"/>
  <c r="J145" i="3"/>
  <c r="H146" i="3"/>
  <c r="I146" i="3"/>
  <c r="J146" i="3"/>
  <c r="H147" i="3"/>
  <c r="I147" i="3"/>
  <c r="J147" i="3"/>
  <c r="H148" i="3"/>
  <c r="I148" i="3"/>
  <c r="J148" i="3"/>
  <c r="H149" i="3"/>
  <c r="I149" i="3"/>
  <c r="J149" i="3"/>
  <c r="H151" i="3"/>
  <c r="I151" i="3"/>
  <c r="J151" i="3"/>
  <c r="H152" i="3"/>
  <c r="I152" i="3"/>
  <c r="J152" i="3"/>
  <c r="H153" i="3"/>
  <c r="I153" i="3"/>
  <c r="J153" i="3"/>
  <c r="H154" i="3"/>
  <c r="I154" i="3"/>
  <c r="J154" i="3"/>
  <c r="H155" i="3"/>
  <c r="I155" i="3"/>
  <c r="J155" i="3"/>
  <c r="H156" i="3"/>
  <c r="I156" i="3"/>
  <c r="J156" i="3"/>
  <c r="H157" i="3"/>
  <c r="I157" i="3"/>
  <c r="J157" i="3"/>
  <c r="H158" i="3"/>
  <c r="I158" i="3"/>
  <c r="J158" i="3"/>
  <c r="H159" i="3"/>
  <c r="I159" i="3"/>
  <c r="J159" i="3"/>
  <c r="H160" i="3"/>
  <c r="I160" i="3"/>
  <c r="J160" i="3"/>
  <c r="H161" i="3"/>
  <c r="I161" i="3"/>
  <c r="J161" i="3"/>
  <c r="H162" i="3"/>
  <c r="I162" i="3"/>
  <c r="J162" i="3"/>
  <c r="H163" i="3"/>
  <c r="I163" i="3"/>
  <c r="J163" i="3"/>
  <c r="H164" i="3"/>
  <c r="I164" i="3"/>
  <c r="J164" i="3"/>
  <c r="H165" i="3"/>
  <c r="I165" i="3"/>
  <c r="J165" i="3"/>
  <c r="H166" i="3"/>
  <c r="I166" i="3"/>
  <c r="J166" i="3"/>
  <c r="H167" i="3"/>
  <c r="I167" i="3"/>
  <c r="J167" i="3"/>
  <c r="H168" i="3"/>
  <c r="I168" i="3"/>
  <c r="J168" i="3"/>
  <c r="H169" i="3"/>
  <c r="I169" i="3"/>
  <c r="J169" i="3"/>
  <c r="H170" i="3"/>
  <c r="I170" i="3"/>
  <c r="J170" i="3"/>
  <c r="H171" i="3"/>
  <c r="I171" i="3"/>
  <c r="J171" i="3"/>
  <c r="H173" i="3"/>
  <c r="I173" i="3"/>
  <c r="J173" i="3"/>
  <c r="H174" i="3"/>
  <c r="I174" i="3"/>
  <c r="J174" i="3"/>
  <c r="H175" i="3"/>
  <c r="I175" i="3"/>
  <c r="J175" i="3"/>
  <c r="H176" i="3"/>
  <c r="I176" i="3"/>
  <c r="J176" i="3"/>
  <c r="H177" i="3"/>
  <c r="I177" i="3"/>
  <c r="J177" i="3"/>
  <c r="H178" i="3"/>
  <c r="I178" i="3"/>
  <c r="J178" i="3"/>
  <c r="H179" i="3"/>
  <c r="I179" i="3"/>
  <c r="J179" i="3"/>
  <c r="H180" i="3"/>
  <c r="I180" i="3"/>
  <c r="J180" i="3"/>
  <c r="H181" i="3"/>
  <c r="I181" i="3"/>
  <c r="J181" i="3"/>
  <c r="H182" i="3"/>
  <c r="I182" i="3"/>
  <c r="J182" i="3"/>
  <c r="H183" i="3"/>
  <c r="I183" i="3"/>
  <c r="J183" i="3"/>
  <c r="H184" i="3"/>
  <c r="I184" i="3"/>
  <c r="J184" i="3"/>
  <c r="H185" i="3"/>
  <c r="I185" i="3"/>
  <c r="J185" i="3"/>
  <c r="H187" i="3"/>
  <c r="I187" i="3"/>
  <c r="J187" i="3"/>
  <c r="H188" i="3"/>
  <c r="I188" i="3"/>
  <c r="J188" i="3"/>
  <c r="H189" i="3"/>
  <c r="I189" i="3"/>
  <c r="J189" i="3"/>
  <c r="H190" i="3"/>
  <c r="I190" i="3"/>
  <c r="J190" i="3"/>
  <c r="H191" i="3"/>
  <c r="I191" i="3"/>
  <c r="J191" i="3"/>
  <c r="H192" i="3"/>
  <c r="I192" i="3"/>
  <c r="J192" i="3"/>
  <c r="H193" i="3"/>
  <c r="I193" i="3"/>
  <c r="J193" i="3"/>
  <c r="H194" i="3"/>
  <c r="I194" i="3"/>
  <c r="J194" i="3"/>
  <c r="H195" i="3"/>
  <c r="I195" i="3"/>
  <c r="J195" i="3"/>
  <c r="H196" i="3"/>
  <c r="I196" i="3"/>
  <c r="J196" i="3"/>
  <c r="H197" i="3"/>
  <c r="I197" i="3"/>
  <c r="J197" i="3"/>
  <c r="H198" i="3"/>
  <c r="I198" i="3"/>
  <c r="J198" i="3"/>
  <c r="H199" i="3"/>
  <c r="I199" i="3"/>
  <c r="J199" i="3"/>
  <c r="H200" i="3"/>
  <c r="I200" i="3"/>
  <c r="J200" i="3"/>
  <c r="H201" i="3"/>
  <c r="I201" i="3"/>
  <c r="J201" i="3"/>
  <c r="H202" i="3"/>
  <c r="I202" i="3"/>
  <c r="J202" i="3"/>
  <c r="H203" i="3"/>
  <c r="I203" i="3"/>
  <c r="J203" i="3"/>
  <c r="H204" i="3"/>
  <c r="I204" i="3"/>
  <c r="J204" i="3"/>
  <c r="H205" i="3"/>
  <c r="I205" i="3"/>
  <c r="J205" i="3"/>
  <c r="H206" i="3"/>
  <c r="I206" i="3"/>
  <c r="J206" i="3"/>
  <c r="H207" i="3"/>
  <c r="I207" i="3"/>
  <c r="J207" i="3"/>
  <c r="H208" i="3"/>
  <c r="I208" i="3"/>
  <c r="J208" i="3"/>
  <c r="H209" i="3"/>
  <c r="I209" i="3"/>
  <c r="J209" i="3"/>
  <c r="H210" i="3"/>
  <c r="I210" i="3"/>
  <c r="J210" i="3"/>
  <c r="H211" i="3"/>
  <c r="I211" i="3"/>
  <c r="J211" i="3"/>
  <c r="H212" i="3"/>
  <c r="I212" i="3"/>
  <c r="J212" i="3"/>
  <c r="H213" i="3"/>
  <c r="I213" i="3"/>
  <c r="J213" i="3"/>
  <c r="H214" i="3"/>
  <c r="I214" i="3"/>
  <c r="J214" i="3"/>
  <c r="H215" i="3"/>
  <c r="I215" i="3"/>
  <c r="J215" i="3"/>
  <c r="H216" i="3"/>
  <c r="I216" i="3"/>
  <c r="J216" i="3"/>
  <c r="H217" i="3"/>
  <c r="I217" i="3"/>
  <c r="J217" i="3"/>
  <c r="H218" i="3"/>
  <c r="I218" i="3"/>
  <c r="J218" i="3"/>
  <c r="H219" i="3"/>
  <c r="I219" i="3"/>
  <c r="J219" i="3"/>
  <c r="H220" i="3"/>
  <c r="I220" i="3"/>
  <c r="J220" i="3"/>
  <c r="H222" i="3"/>
  <c r="I222" i="3"/>
  <c r="J222" i="3"/>
  <c r="H223" i="3"/>
  <c r="I223" i="3"/>
  <c r="J223" i="3"/>
  <c r="H224" i="3"/>
  <c r="I224" i="3"/>
  <c r="J224" i="3"/>
  <c r="H225" i="3"/>
  <c r="I225" i="3"/>
  <c r="J225" i="3"/>
  <c r="H226" i="3"/>
  <c r="I226" i="3"/>
  <c r="J226" i="3"/>
  <c r="H227" i="3"/>
  <c r="I227" i="3"/>
  <c r="J227" i="3"/>
  <c r="H228" i="3"/>
  <c r="I228" i="3"/>
  <c r="J228" i="3"/>
  <c r="H229" i="3"/>
  <c r="I229" i="3"/>
  <c r="J229" i="3"/>
  <c r="H230" i="3"/>
  <c r="I230" i="3"/>
  <c r="J230" i="3"/>
  <c r="H231" i="3"/>
  <c r="I231" i="3"/>
  <c r="J231" i="3"/>
  <c r="H232" i="3"/>
  <c r="I232" i="3"/>
  <c r="J232" i="3"/>
  <c r="H233" i="3"/>
  <c r="I233" i="3"/>
  <c r="J233" i="3"/>
  <c r="H234" i="3"/>
  <c r="I234" i="3"/>
  <c r="J234" i="3"/>
  <c r="H235" i="3"/>
  <c r="I235" i="3"/>
  <c r="J235" i="3"/>
  <c r="H236" i="3"/>
  <c r="I236" i="3"/>
  <c r="J236" i="3"/>
  <c r="H237" i="3"/>
  <c r="I237" i="3"/>
  <c r="J237" i="3"/>
  <c r="H238" i="3"/>
  <c r="I238" i="3"/>
  <c r="J238" i="3"/>
  <c r="H239" i="3"/>
  <c r="I239" i="3"/>
  <c r="J239" i="3"/>
  <c r="H240" i="3"/>
  <c r="I240" i="3"/>
  <c r="J240" i="3"/>
  <c r="H241" i="3"/>
  <c r="I241" i="3"/>
  <c r="J241" i="3"/>
  <c r="H242" i="3"/>
  <c r="I242" i="3"/>
  <c r="J242" i="3"/>
  <c r="H243" i="3"/>
  <c r="I243" i="3"/>
  <c r="J243" i="3"/>
  <c r="H244" i="3"/>
  <c r="I244" i="3"/>
  <c r="J244" i="3"/>
  <c r="H245" i="3"/>
  <c r="I245" i="3"/>
  <c r="J245" i="3"/>
  <c r="H246" i="3"/>
  <c r="I246" i="3"/>
  <c r="J246" i="3"/>
  <c r="H247" i="3"/>
  <c r="I247" i="3"/>
  <c r="J247" i="3"/>
  <c r="H248" i="3"/>
  <c r="I248" i="3"/>
  <c r="J248" i="3"/>
  <c r="H249" i="3"/>
  <c r="I249" i="3"/>
  <c r="J249" i="3"/>
  <c r="H250" i="3"/>
  <c r="I250" i="3"/>
  <c r="J250" i="3"/>
  <c r="H251" i="3"/>
  <c r="I251" i="3"/>
  <c r="J251" i="3"/>
  <c r="I3" i="3"/>
  <c r="I4" i="3"/>
  <c r="I5" i="3"/>
  <c r="I7" i="3"/>
  <c r="I10" i="3"/>
  <c r="I11" i="3"/>
  <c r="I13" i="3"/>
  <c r="I16" i="3"/>
  <c r="I17" i="3"/>
  <c r="I18" i="3"/>
  <c r="I22" i="3"/>
  <c r="I23" i="3"/>
  <c r="I26" i="3"/>
  <c r="I27" i="3"/>
  <c r="I32" i="3"/>
  <c r="I35" i="3"/>
  <c r="I37" i="3"/>
  <c r="I40" i="3"/>
  <c r="I41" i="3"/>
  <c r="I53" i="3"/>
  <c r="I56" i="3"/>
  <c r="I68" i="3"/>
  <c r="I78" i="3"/>
  <c r="I79" i="3"/>
  <c r="I81" i="3"/>
  <c r="I88" i="3"/>
  <c r="I94" i="3"/>
  <c r="I97" i="3"/>
  <c r="I103" i="3"/>
  <c r="I104" i="3"/>
  <c r="I105" i="3"/>
  <c r="I106" i="3"/>
  <c r="I107" i="3"/>
  <c r="I108" i="3"/>
  <c r="I113" i="3"/>
  <c r="I115" i="3"/>
  <c r="I116" i="3"/>
  <c r="I117" i="3"/>
  <c r="I118" i="3"/>
  <c r="I119" i="3"/>
  <c r="I120" i="3"/>
  <c r="I122" i="3"/>
  <c r="I138" i="3"/>
  <c r="I150" i="3"/>
  <c r="I172" i="3"/>
  <c r="I186" i="3"/>
  <c r="I221" i="3"/>
  <c r="I2" i="3"/>
  <c r="J3" i="3"/>
  <c r="J4" i="3"/>
  <c r="J5" i="3"/>
  <c r="J7" i="3"/>
  <c r="J10" i="3"/>
  <c r="J11" i="3"/>
  <c r="J13" i="3"/>
  <c r="J16" i="3"/>
  <c r="J17" i="3"/>
  <c r="J18" i="3"/>
  <c r="J22" i="3"/>
  <c r="J23" i="3"/>
  <c r="J26" i="3"/>
  <c r="J27" i="3"/>
  <c r="J32" i="3"/>
  <c r="J35" i="3"/>
  <c r="J37" i="3"/>
  <c r="J40" i="3"/>
  <c r="J41" i="3"/>
  <c r="J53" i="3"/>
  <c r="J56" i="3"/>
  <c r="J68" i="3"/>
  <c r="J78" i="3"/>
  <c r="J79" i="3"/>
  <c r="J81" i="3"/>
  <c r="J88" i="3"/>
  <c r="J94" i="3"/>
  <c r="J97" i="3"/>
  <c r="J103" i="3"/>
  <c r="J104" i="3"/>
  <c r="J105" i="3"/>
  <c r="J106" i="3"/>
  <c r="J107" i="3"/>
  <c r="J108" i="3"/>
  <c r="J113" i="3"/>
  <c r="J115" i="3"/>
  <c r="J116" i="3"/>
  <c r="J117" i="3"/>
  <c r="J118" i="3"/>
  <c r="J119" i="3"/>
  <c r="J120" i="3"/>
  <c r="J122" i="3"/>
  <c r="J138" i="3"/>
  <c r="J150" i="3"/>
  <c r="J172" i="3"/>
  <c r="J186" i="3"/>
  <c r="J221" i="3"/>
  <c r="J2" i="3"/>
  <c r="H3" i="3"/>
  <c r="H4" i="3"/>
  <c r="H5" i="3"/>
  <c r="H7" i="3"/>
  <c r="H10" i="3"/>
  <c r="H11" i="3"/>
  <c r="H13" i="3"/>
  <c r="H16" i="3"/>
  <c r="H17" i="3"/>
  <c r="H18" i="3"/>
  <c r="H22" i="3"/>
  <c r="H23" i="3"/>
  <c r="H26" i="3"/>
  <c r="H27" i="3"/>
  <c r="H32" i="3"/>
  <c r="H35" i="3"/>
  <c r="H37" i="3"/>
  <c r="H40" i="3"/>
  <c r="H41" i="3"/>
  <c r="H53" i="3"/>
  <c r="H56" i="3"/>
  <c r="H68" i="3"/>
  <c r="H78" i="3"/>
  <c r="H79" i="3"/>
  <c r="H81" i="3"/>
  <c r="H88" i="3"/>
  <c r="H94" i="3"/>
  <c r="H97" i="3"/>
  <c r="H103" i="3"/>
  <c r="H104" i="3"/>
  <c r="H105" i="3"/>
  <c r="H106" i="3"/>
  <c r="H107" i="3"/>
  <c r="H108" i="3"/>
  <c r="H113" i="3"/>
  <c r="H115" i="3"/>
  <c r="H116" i="3"/>
  <c r="H117" i="3"/>
  <c r="H118" i="3"/>
  <c r="H119" i="3"/>
  <c r="H120" i="3"/>
  <c r="H122" i="3"/>
  <c r="H138" i="3"/>
  <c r="H150" i="3"/>
  <c r="H172" i="3"/>
  <c r="H186" i="3"/>
  <c r="H221" i="3"/>
  <c r="H2" i="3"/>
</calcChain>
</file>

<file path=xl/sharedStrings.xml><?xml version="1.0" encoding="utf-8"?>
<sst xmlns="http://schemas.openxmlformats.org/spreadsheetml/2006/main" count="1140" uniqueCount="566">
  <si>
    <t>Rank,"Restaurant","Content","Sales","YOY_Sales","Units","YOY_Units","Headquarters","Segment_Category"</t>
  </si>
  <si>
    <t>1,"McDonald's",NA,40412,"4.9%",13846,"-0.5%",NA,"Quick Service &amp; Burger"</t>
  </si>
  <si>
    <t>2,"Starbucks",NA,21380,"8.6%",15049,"3.0%",NA,"Quick Service &amp; Coffee Cafe"</t>
  </si>
  <si>
    <t>3,"Chick-fil-A","While Popeyes got a lot of the chicken buzz in 2019, Chick-fil-A had a busy year in its own right. On top of passing Taco Bell and Subway to become the nation's third-largest chain, it introduced dine-in mobile ordering, eliminated antibiotics from its chicken and added its first new permanent menu item in three years: mac and cheese.",11320,"13.0%",2470,"5.0%",NA,"Quick Service &amp; Chicken"</t>
  </si>
  <si>
    <t>4,"Taco Bell",NA,11293,"9.0%",6766,"2.7%",NA,"Quick Service &amp; Mexican"</t>
  </si>
  <si>
    <t>5,"Burger King",NA,10204,"2.7%",7346,"0.2%",NA,"Quick Service &amp; Burger"</t>
  </si>
  <si>
    <t>6,"Subway",NA,10200,"-2.0%",23801,"-4.0%",NA,"Quick Service &amp; Sandwich"</t>
  </si>
  <si>
    <t>7,"Wendy's",NA,9762,"4.2%",5852,"0.7%",NA,"Quick Service &amp; Burger"</t>
  </si>
  <si>
    <t>8,"Dunkin'","Dunkin' dropped ""Donuts"" from its name and repositioned as a beverage-first concept, and it seems to have paid off, said Kevin Schimpf of Technomic. ""To have a good year while Starbucks is also still continuing to grow away, I think that was impressive for Dunkin',"" he said.",9228,"5.0%",9630,"2.2%",NA,"Quick Service &amp; Coffee Cafe"</t>
  </si>
  <si>
    <t>9,"Domino's",NA,7044,"6.9%",6126,"4.3%",NA,"Quick Service &amp; Pizza"</t>
  </si>
  <si>
    <t>10,"Panera Bread",NA,5890,"4.0%",2160,"3.2%",NA,"Fast Casual &amp; Bakery Cafe"</t>
  </si>
  <si>
    <t>11,"Pizza Hut","The chain moved to replace underperforming dine-in restaurants with takeout- and delivery-only units in 2019, leading to a 2.4% decline in unit count. Executives said in August that unit count could drop to as low as 7,000 before returning to normal levels as units are converted.",5558,"0.6%",7306,"-2.4%",NA,"Quick Service &amp; Pizza"</t>
  </si>
  <si>
    <t>12,"Chipotle Mexican Grill",NA,5509,"14.8%",2584,"5.3%",NA,"Fast Casual &amp; Mexican"</t>
  </si>
  <si>
    <t>13,"Sonic Drive-In","The drive-in chain grew same-store sales for the second straight year under new parent Inspire Brands, which acquired Sonic in 2018. It kicked off 2020 with a refreshed look and tag line: ""This is how we Sonic.""",4687,"4.6%",3526,"-2.1%",NA,"Quick Service &amp; Burger"</t>
  </si>
  <si>
    <t>14,"KFC",NA,4546,"2.5%",4065,"-0.2%",NA,"Quick Service &amp; Chicken"</t>
  </si>
  <si>
    <t>15,"Olive Garden","Olive Garden became the nation's largest casual-dining chain, growing sales 5% in 2019. The Italian chain seems to have had success bucking the delivery trend, delivering only for large orders of at least $75. It has also been focused on training and staffing to improve the dine-in experience.",4287,"5.0%",866,"1.3%",NA,"Casual Dining &amp; Italian/Pizza"</t>
  </si>
  <si>
    <t>16,"Applebee's",NA,4085,"-3.0%",1665,"-1.7%",NA,"Casual Dining &amp; Varied Menu"</t>
  </si>
  <si>
    <t>17,"Panda Express","Panda Express has quietly established itself as a fast-casual stalwart, posting another year of double-digit sales growth (12%). ""They continue to have just strong year after strong year, and there's never any competition in their segment,"" said Schimpf.",3946,"12.0%",2209,"4.9%",NA,"Fast Casual &amp; Asian/Noodle"</t>
  </si>
  <si>
    <t>18,"Arby's",NA,3884,"1.9%",3359,"0.9%",NA,"Quick Service &amp; Sandwich"</t>
  </si>
  <si>
    <t>19,"Popeyes Louisiana Kitchen",NA,3812,"18.3%",2476,"5.5%",NA,"Quick Service &amp; Chicken"</t>
  </si>
  <si>
    <t>20,"Little Caesars","The third-largest pizza chain's self-service, heated Pizza Portals have helped it stay competitive in the carryout-pizza sector. And in January, Little Caesars made its return to the delivery space, partnering with DoorDash to deliver pies for ""at least $5 less"" than its competitors.",3811,"2.7%",4237,"-0.6%",NA,"Quick Service &amp; Pizza"</t>
  </si>
  <si>
    <t>21,"Dairy Queen",NA,3760,"2.9%",4381,"-0.6%",NA,"Quick Service &amp; Frozen Desserts"</t>
  </si>
  <si>
    <t>22,"Buffalo Wild Wings",NA,3669,"-0.1%",1206,"-0.2%",NA,"Casual Dining &amp; Sports Bar"</t>
  </si>
  <si>
    <t>23,"Chili's Grill &amp; Bar",NA,3563,"2.2%",1242,"-0.7%",NA,"Casual Dining &amp; Varied Menu"</t>
  </si>
  <si>
    <t>24,"Jack in the Box",NA,3504,"1.1%",2243,"0.3%",NA,"Quick Service &amp; Burger"</t>
  </si>
  <si>
    <t>25,"IHOP",NA,3266,"2.0%",1710,"0.3%",NA,"Family Dining &amp; Family Style"</t>
  </si>
  <si>
    <t>26,"Texas Roadhouse",NA,3016,"11.0%",553,"3.8%",NA,"Casual Dining &amp; Steak"</t>
  </si>
  <si>
    <t>27,"Denny's",NA,2691,"1.1%",1558,"-1.5%",NA,"Family Dining &amp; Family Style"</t>
  </si>
  <si>
    <t>28,"Papa John's",NA,2638,"-2.7%",3142,"-1.8%",NA,"Quick Service &amp; Pizza"</t>
  </si>
  <si>
    <t>29,"Outback Steakhouse",NA,2635,"0.9%",724,"-1.2%",NA,"Casual Dining &amp; Steak"</t>
  </si>
  <si>
    <t>30,"Whataburger",NA,2556,"5.8%",830,"0.6%",NA,"Quick Service &amp; Burger"</t>
  </si>
  <si>
    <t>31,"Red Lobster",NA,2490,"1.6%",679,"0.1%",NA,"Casual Dining &amp; Seafood"</t>
  </si>
  <si>
    <t>32,"Cracker Barrel","Cracker Barrel made the most surprising deal of 2019 when it took a $140 million stake in growth chain Punch Bowl Social. But that investment was tested in March, when the chain said it would not rescue Punch Bowl from foreclosure amid the coronavirus crisis, choosing instead to focus on helping its flagship chain and newly acquired Maple Street Biscuit Co.",2482,"1.8%",660,"0.8%",NA,"Family Dining &amp; Family Style"</t>
  </si>
  <si>
    <t>33,"The Cheesecake Factory",NA,2180,"2.5%",206,"2.5%",NA,"Casual Dining &amp; Varied Menu"</t>
  </si>
  <si>
    <t>34,"Jimmy John's Gourmet Sandwiches",NA,2105,"-1.6%",2787,"-0.5%",NA,"Fast Casual &amp; Sandwich"</t>
  </si>
  <si>
    <t>35,"Hardee's",NA,2020,"-4.0%",1820,"-1.4%",NA,"Quick Service &amp; Burger"</t>
  </si>
  <si>
    <t>36,"Zaxby's",NA,1886,"6.0%",910,"1.3%",NA,"Fast Casual &amp; Chicken"</t>
  </si>
  <si>
    <t>37,"LongHorn Steakhouse",NA,1867,"6.3%",530,"1.9%",NA,"Casual Dining &amp; Steak"</t>
  </si>
  <si>
    <t>38,"Culver's","One of the country's fastest-growing chains over the past five years continued that trajectory in 2019, increasing sales by 13.9% and unit count by 6.7%. Because more than half of its sales come from takeout, it was working to improve its drive-thru technology and add mobile ordering.",1795,"13.9%",732,"6.7%",NA,"Quick Service &amp; Burger"</t>
  </si>
  <si>
    <t>39,"Golden Corral",NA,1746,"0.8%",483,"-1.2%",NA,"Quick Service &amp; Family Casual"</t>
  </si>
  <si>
    <t>40,"Five Guys Burgers and Fries",NA,1661,"7.4%",1368,"0.7%",NA,"Fast Casual &amp; Burger"</t>
  </si>
  <si>
    <t>41,"Red Robin Gourmet Burgers and Brews","A tumultuous year for the burger chain included the retirement of CEO Denny Marie Post, who had been with Red Robin since 2011, and continued attempts by activist investors to force a sale of the company. It named Paul Murphy as its new CEO in September.",1548,"-0.3%",556,"-3.0%",NA,"Casual Dining &amp; Varied Menu"</t>
  </si>
  <si>
    <t>42,"Raising Cane's Chicken Fingers",NA,1466,"23.8%",457,"14.3%",NA,"Fast Casual &amp; Chicken"</t>
  </si>
  <si>
    <t>43,"Carl's Jr.",NA,1423,"-2.5%",1095,"-2.3%",NA,"Quick Service &amp; Burger"</t>
  </si>
  <si>
    <t>44,"Wingstop","2019 marked Wingstop's 16th consecutive year of comps growth. In October, it said it planned to broaden its offerings to include whole wings to take advantage of lower commodity prices on whole chickens.",1363,"19.0%",1231,"9.5%",NA,"Fast Casual &amp; Chicken"</t>
  </si>
  <si>
    <t>45,"Waffle House","Waffle House",1344,"3.4%",1959,"1.2%",NA,"Family Dining &amp; Family Style"</t>
  </si>
  <si>
    <t>46,"Jersey Mike's Subs",NA,1340,"16.7%",1667,"11.6%",NA,"Fast Casual &amp; Sandwich"</t>
  </si>
  <si>
    <t>47,"Bojangles'",NA,1331,"2.7%",746,"-1.3%",NA,"Quick Service &amp; Chicken"</t>
  </si>
  <si>
    <t>48,"BJ's Restaurant &amp; Brewhouse","BJ's Restaurants' bullish approach to off-premise has paid off, helping it to pass TGI Fridays and become the No. 10 casual-dining chain. As of July, delivery sales at the chain were growing at a 20% clip, and the chain reported that takeout and catering sales were increasing as well. BJ's also overhauled its back-of-house operations in 2019 to make things more efficient and easier on employees.",1161,"4.0%",208,"3.0%",NA,"Casual Dining &amp; Varied Menu"</t>
  </si>
  <si>
    <t>49,"TGI Fridays",NA,1085,"-8.5%",385,"-7.9%",NA,"Casual Dining &amp; Varied Menu"</t>
  </si>
  <si>
    <t>50,"In-N-Out Burger",NA,957,"4.6%",351,"3.5%",NA,"Quick Service &amp; Burger"</t>
  </si>
  <si>
    <t>51,"Steak 'n Shake","As of August, the chain had temporarily closed more than 100 locations with plans to refranchise them to single-store operators. And in early 2020, it announced plans to convert about 100 units to counter service. Prior to the coronavirus crisis, it was named in a Fitch Ratings report as a chain at risk of a Chapter 11 filing.",950,"-7.7%",576,"-3.0%",NA,"Quick Service &amp; Burger"</t>
  </si>
  <si>
    <t>52,"P.F. Chang's",NA,917,"1.4%",221,"0.0%",NA,"Casual Dining &amp; Asian"</t>
  </si>
  <si>
    <t>53,"Qdoba Mexican Eats",NA,901,"5.9%",730,"-2.9%",NA,"Fast Casual &amp; Mexican"</t>
  </si>
  <si>
    <t>54,"El Pollo Loco",NA,894,"3.0%",482,"-0.4%",NA,"Quick Service &amp; Chicken"</t>
  </si>
  <si>
    <t>55,"Krispy Kreme",NA,887,"4.4%",364,"4.0%",NA,"Quick Service &amp; Snack"</t>
  </si>
  <si>
    <t>56,"Hooters",NA,858,"0.4%",341,"0.0%",NA,"Casual Dining &amp; Sports Bar"</t>
  </si>
  <si>
    <t>57,"Del Taco",NA,850,"4.0%",596,"2.8%",NA,"Quick Service &amp; Mexican"</t>
  </si>
  <si>
    <t>58,"Firehouse Subs",NA,832,"4.8%",1155,"1.9%",NA,"Fast Casual &amp; Sandwich"</t>
  </si>
  <si>
    <t>59,"Bob Evans",NA,795,"-4.2%",483,"-1.4%",NA,"Family Dining &amp; Family Style"</t>
  </si>
  <si>
    <t>60,"Moe's Southwest Grill",NA,749,"2.0%",730,"1.5%",NA,"Fast Casual &amp; Mexican"</t>
  </si>
  <si>
    <t>61,"Papa Murphy's Pizza","Though the chain saw declines in both sales and units in 2019, it remains beloved by consumers. Guests surveyed by Technomic named it their favorite limited-service pizza chain as well as a leader in tech-enabled ordering.",748,"-5.9%",1329,"-5.1%",NA,"Quick Service &amp; Pizza"</t>
  </si>
  <si>
    <t>62,"Ruby Tuesday",NA,731,"-11.4%",451,"-8.1%",NA,"Casual Dining &amp; Varied Menu"</t>
  </si>
  <si>
    <t>63,"McAlister's Deli",NA,725,"7.0%",460,"3.6%",NA,"Fast Casual &amp; Sandwich"</t>
  </si>
  <si>
    <t>64,"Cheddar's Scratch Kitchen",NA,724,"0.6%",175,"2.9%",NA,"Casual Dining &amp; Varied Menu"</t>
  </si>
  <si>
    <t>65,"Church's Chicken",NA,716,"-5.2%",1032,"-5.0%",NA,"Quick Service &amp; Chicken"</t>
  </si>
  <si>
    <t>66,"Tim Hortons","On the other side of that equation is Tim Hortons, which saw its consumer approval ratings slip by nearly 6 points in 2019, according to Technomic. A turnaround plan includes a renewed focus on the chain's core coffee and breakfast platforms along with changes to its loyalty program and a $100 million investment in drive-thru menu boards.",714,"-3.5%",715,"-1.7%","Toronto, ON","Quick Service &amp; Coffee Cafe"</t>
  </si>
  <si>
    <t>67,"Ruth's Chris Steak House",NA,703,"1.6%",135,"1.5%","Winter Park, FL","Steak"</t>
  </si>
  <si>
    <t>68,"Carrabba's Italian Grill",NA,653,"-1.0%",225,"-0.9%",NA,"Casual Dining &amp; Italian/Pizza"</t>
  </si>
  <si>
    <t>69,"Jason's Deli",NA,647,"-1.1%",283,"1.8%",NA,"Fast Casual &amp; Sandwich"</t>
  </si>
  <si>
    <t>70,"Marco's Pizza",NA,628,"4.8%",915,"3.6%",NA,"Quick Service &amp; Pizza"</t>
  </si>
  <si>
    <t>71,"Shake Shack",NA,622,"31.8%",173,"27.2%",NA,"Fast Casual &amp; Burger"</t>
  </si>
  <si>
    <t>72,"California Pizza Kitchen",NA,621,"-3.3%",199,"-0.5%",NA,"Casual Dining &amp; Italian/Pizza"</t>
  </si>
  <si>
    <t>73,"Baskin-Robbins",NA,615,"0.6%",2524,"-1.0%",NA,"Quick Service &amp; Frozen Desserts"</t>
  </si>
  <si>
    <t>74,"Yard House",NA,609,"6.6%",79,"9.7%",NA,"Casual Dining &amp; Varied Menu"</t>
  </si>
  <si>
    <t>75,"Bonefish Grill",NA,587,"-0.9%",197,"0.0%",NA,"Casual Dining &amp; Seafood"</t>
  </si>
  <si>
    <t>76,"White Castle",NA,579,"2.4%",371,"-0.5%",NA,"Quick Service &amp; Burger"</t>
  </si>
  <si>
    <t>77,"Tropical Smoothie Cafe",NA,576,"21.8%",834,"16.0%",NA,"Quick Service &amp; Beverage"</t>
  </si>
  <si>
    <t>78,"Dave &amp; Buster's",NA,571,"6.5%",132,"10.9%","Dallas, TX","Sports Bar"</t>
  </si>
  <si>
    <t>79,"Dutch Bros. Coffee",NA,567,"15.0%",369,"13.2%",NA,"Quick Service &amp; Coffee Cafe"</t>
  </si>
  <si>
    <t>80,"Captain D's Seafood Kitchen",NA,561,"3.1%",540,"2.1%",NA,"Quick Service &amp; Seafood"</t>
  </si>
  <si>
    <t>81,"Auntie Anne's",NA,559,"0.2%",1288,"-0.5%",NA,"Quick Service &amp; Snack"</t>
  </si>
  <si>
    <t>82,"First Watch",NA,558,"35.1%",368,"24.7%",NA,"Family Dining &amp; Family Style"</t>
  </si>
  <si>
    <t>83,"Perkins Restaurant &amp; Bakery","After its parent company filed for Chapter 11 protection in August, the struggling family-dining chain was scooped up by Huddle House for $51.5 million. Its new owner said it had no plans to convert Perkins units into Huddle Houses or vice versa.",541,"-9.5%",309,"-13.0%",NA,"Family Dining &amp; Family Style"</t>
  </si>
  <si>
    <t>84,"Freddy's Frozen Custard &amp; Steakburgers",NA,535,"12.9%",368,"12.2%",NA,"Fast Casual &amp; Burger"</t>
  </si>
  <si>
    <t>85,"Checkers Drive-In Restaurants",NA,535,"-1.8%",584,"-0.2%",NA,"Quick Service &amp; Burger"</t>
  </si>
  <si>
    <t>86,"Noodles &amp; Company","The chain followed up on its successful 2018 introduction of zucchini noodles with a cauliflower-based noodle last year. It also saw growth via digital channels and catering, and said it was poised to resume franchise growth that had slowed in recent years as the chain stabilized.",533,"0.9%",457,"-0.4%",NA,"Fast Casual &amp; Asian/Noodle"</t>
  </si>
  <si>
    <t>87,"Einstein Bros. Bagels",NA,517,"-2.1%",710,"-2.6%",NA,"Quick Service &amp; Bakery Cafe"</t>
  </si>
  <si>
    <t>88,"Jamba",NA,514,"0.8%",767,"-1.8%",NA,"Quick Service &amp; Beverage"</t>
  </si>
  <si>
    <t>89,"Portillo's",NA,505,"12.2%",62,"8.8%",NA,"Fast Casual &amp; Sandwich"</t>
  </si>
  <si>
    <t>90,"Boston Market",NA,501,"-9.9%",390,"-14.1%",NA,"Fast Casual &amp; Chicken"</t>
  </si>
  <si>
    <t>91,"The Habit Burger Grill",NA,500,"14.5%",273,"10.5%",NA,"Fast Casual &amp; Burger"</t>
  </si>
  <si>
    <t>92,"Logan's Roadhouse",NA,496,"-3.7%",204,"-1.0%",NA,"Casual Dining &amp; Steak"</t>
  </si>
  <si>
    <t>93,"MOD Pizza",NA,483,"23.8%",467,"18.2%",NA,"Fast Casual &amp; Pizza"</t>
  </si>
  <si>
    <t>94,"Smoothie King",NA,462,"11.2%",972,"8.0%",NA,"Quick Service &amp; Beverage"</t>
  </si>
  <si>
    <t>95,"Mellow Mushroom",NA,461,"-0.3%",187,"-1.1%",NA,"Casual Dining &amp; Italian/Pizza"</t>
  </si>
  <si>
    <t>96,"The Capital Grille",NA,461,"4.7%",58,"0.0%",NA,"Fine Dining &amp; Steak"</t>
  </si>
  <si>
    <t>97,"Round Table Pizza",NA,450,"1.3%",435,"0.7%",NA,"Quick Service &amp; Pizza"</t>
  </si>
  <si>
    <t>98,"Miller's Ale House",NA,446,"10.2%",98,"11.4%",NA,"Casual Dining &amp; Sports Bar"</t>
  </si>
  <si>
    <t>99,"Potbelly sandwich Shop","Potbelly closed stores and halted company-owned unit growth last year and hired a consulting firm to help it return to profitability. In a bid to boost operational efficiency, it debuted a new prototype in Chicago that reverses the concept's normal ordering process.",446,"-2.5%",471,"-1.5%",NA,"Quick Service &amp; Sandwich"</t>
  </si>
  <si>
    <t>100,"Hungry Howie's Pizza",NA,439,"7.0%",537,"-2.4%",NA,"Quick Service &amp; Pizza"</t>
  </si>
  <si>
    <t>101,"Charleys Philly Steaks",NA,435,"4.9%",540,"2.3%",NA,"Quick Service &amp; Sandwich"</t>
  </si>
  <si>
    <t>102,"Chuy's",NA,426,"7.1%",100,"0.0%","Austin, TX","Mexican"</t>
  </si>
  <si>
    <t>103,"O'Charley's",NA,426,"-7.6%",196,"-5.3%","Nashville, TN","Varied Menu"</t>
  </si>
  <si>
    <t>104,"Pollo Tropical",NA,425,"-2.1%",174,"3.0%","Miami, FL","Chicken"</t>
  </si>
  <si>
    <t>105,"Maggiano's Little Italy",NA,417,"1.1%",53,"1.9%","Dallas, TX","Italian/Pizza"</t>
  </si>
  <si>
    <t>106,"Cicis",NA,410,"-1.4%",420,"0.7%","Coppell, TX","Pizza"</t>
  </si>
  <si>
    <t>107,"Long John Silver's",NA,404,"-8.2%",850,"-2.4%","Louisville, KY","Seafood"</t>
  </si>
  <si>
    <t>108,"Saltgrass Steak House",NA,402,"14.9%",88,"10.0%","Houston, TX","Steak"</t>
  </si>
  <si>
    <t>109,"Chuck E. Cheese's",NA,381,"-0.5%",537,"1.3%","Irving, TX","Pizza"</t>
  </si>
  <si>
    <t>110,"Taco John's",NA,373,"0.5%",387,"-1.3%","Cheyenne, WY","Mexican"</t>
  </si>
  <si>
    <t>111,"Texas de Brazil Churrascaria",NA,370,"10.5%",58,"9.4%","Dallas, TX","Steak"</t>
  </si>
  <si>
    <t>112,"Cold Stone Creamery",NA,369,"-2.3%",895,"-0.9%","Scottsdale, AZ","Frozen Desserts"</t>
  </si>
  <si>
    <t>113,"Blaze Pizza",NA,366,"12.4%",313,"5.7%","Pasadena, CA","Pizza"</t>
  </si>
  <si>
    <t>114,"Peet's Coffee",NA,357,"4.3%",423,"2.2%","Emeryville, CA","Coffee Cafe"</t>
  </si>
  <si>
    <t>115,"Dickey's Barbecue Pit",NA,349,"-9.2%",497,"-6.4%","Dallas, TX","BBQ"</t>
  </si>
  <si>
    <t>116,"Zoes Kitchen",NA,348,"1.2%",256,"-1.5%","Plano, TX","Sandwich"</t>
  </si>
  <si>
    <t>117,"Corner Bakery_Cafe",NA,348,"-3.9%",175,"-3.8%","Dallas, TX","Bakery Cafe"</t>
  </si>
  <si>
    <t>118,"Krystal Co.",NA,343,"-9.0%",318,"-10.7%","Dunwoody, GA","Burger"</t>
  </si>
  <si>
    <t>119,"Benihana",NA,340,"1.6%",71,"0.0%","Doral, FL","Asian"</t>
  </si>
  <si>
    <t>120,"Cooper's Hawk Winery &amp; Restaurants",NA,338,"19.9%",41,"17.1%","Countryside, IL","Varied Menu"</t>
  </si>
  <si>
    <t>121,"Big Boy/Frisch's Big Boy",NA,338,"-3.4%",194,"-3.0%","Warren, MI","Family Style"</t>
  </si>
  <si>
    <t>122,"Black Bear Diner",NA,336,"15.3%",138,"15.0%","Redding, CA","Family Style"</t>
  </si>
  <si>
    <t>123,"Twin Peaks",NA,335,"2.6%",84,"0.0%","Dallas, TX","Sports Bar"</t>
  </si>
  <si>
    <t>124,"Schlotzsky's",NA,335,"-0.5%",373,"0.5%","Atlanta, GA","Sandwich"</t>
  </si>
  <si>
    <t>125,"Jet's Pizza",NA,331,"-1.8%",383,"-1.0%","Sterling Heights, MI","Pizza"</t>
  </si>
  <si>
    <t>126,"Famous Dave's",NA,329,"-8.0%",128,"-11.1%","Minnetonka, MN","BBQ"</t>
  </si>
  <si>
    <t>127,"On The Border Mexican Grill &amp; Cantina",NA,327,"-6.1%",136,"-4.9%","Irving, TX","Mexican"</t>
  </si>
  <si>
    <t>128,"Fogo de Chao",NA,326,"10.1%",43,"13.2%","Plano, TX","Steak"</t>
  </si>
  <si>
    <t>129,"Ninety Nine Restaurants",NA,324,"2.1%",108,"0.9%","Woburn, MA","Varied Menu"</t>
  </si>
  <si>
    <t>130,"Village Inn",NA,313,"-7.9%",183,"-9.0%","Denver, CO","Family Style"</t>
  </si>
  <si>
    <t>131,"Taco Cabana",NA,311,"-4.4%",172,"1.2%","Addison, TX","Mexican"</t>
  </si>
  <si>
    <t>132,"Fleming's Prime Steakhouse &amp; Wine Bar",NA,307,"1.0%",68,"-2.9%","Tampa, FL","Steak"</t>
  </si>
  <si>
    <t>133,"Caribou Coffee",NA,306,"6.7%",464,"3.8%","Minneapolis, MN","Coffee Cafe"</t>
  </si>
  <si>
    <t>134,"Jack's",NA,290,"9.8%",176,"8.6%","Birmingham, AL","Burger"</t>
  </si>
  <si>
    <t>135,"Au Bon Pain",NA,289,"-8.1%",170,"-5.6%","Boston, MA","Bakery Cafe"</t>
  </si>
  <si>
    <t>136,"Bar Louie",NA,284,"-5.6%",128,"-3.0%","Addison, TX","Varied Menu"</t>
  </si>
  <si>
    <t>137,"Sarku Japan",NA,281,"2.4%",224,"-0.4%","New York, NY","Asian/Noodle"</t>
  </si>
  <si>
    <t>138,"Old Chicago Pizza &amp; Taproom",NA,275,"4.5%",109,"1.9%","Chattanooga, TN","Italian/Pizza"</t>
  </si>
  <si>
    <t>139,"Rally's Hamburgers",NA,275,"-3.5%",290,"-3.7%","Lexington, KY","Burger"</t>
  </si>
  <si>
    <t>140,"Torchy's Tacos",NA,272,"17.3%",72,"14.3%","Austin, TX","Mexican"</t>
  </si>
  <si>
    <t>141,"Pizza Ranch",NA,269,"7.3%",212,"2.9%","Orange City, IA","Pizza"</t>
  </si>
  <si>
    <t>142,"Pappadeaux Seafood Kitchen",NA,269,"3.1%",40,"0.0%","Houston, TX","Seafood"</t>
  </si>
  <si>
    <t>143,"Braum's Ice Cream &amp; Dairy Stores",NA,268,"2.2%",281,"0.0%","Oklahoma City, OK","Frozen Desserts"</t>
  </si>
  <si>
    <t>144,"Pei Wei Asian Diner",NA,268,"-12.5%",150,"-16.7%","Irving, TX","Asian/Noodle"</t>
  </si>
  <si>
    <t>145,"Cafe Rio Mexican Grill",NA,267,"9.9%",126,"6.8%","Salt Lake City, UT","Mexican"</t>
  </si>
  <si>
    <t>146,"Morton's The Steakhouse",NA,266,"-1.5%",63,"-1.6%","Houston, TX","Steak"</t>
  </si>
  <si>
    <t>147,"Smashburger",NA,265,"-6.5%",312,"-3.4%","Denver, CO","Burger"</t>
  </si>
  <si>
    <t>148,"Wienerschnitzel",NA,265,"3.6%",330,"1.5%","Irvine, CA","Sandwich"</t>
  </si>
  <si>
    <t>149,"Sizzler",NA,259,"-3.8%",122,"-6.9%","Mission Viejo, CA","Family Casual"</t>
  </si>
  <si>
    <t>150,"Seasons 52",NA,253,"1.4%",44,"4.8%","Orlando, FL","Varied Menu"</t>
  </si>
  <si>
    <t>151,"Bahama Breeze Island Grille",NA,252,"5.3%",43,"7.5%",NA,"Varied Menu"</t>
  </si>
  <si>
    <t>152,"Pret A Manger","CEO Clive Schlee retired after 16 years at the helm of the natural foods chain, handing the reign to COO Pano Christou. The transition came in July as Pret prepared to take over U.K. vegetarian chain Eat.",252,"4.7%",95,"3.3%",NA,"Bakery Cafe"</t>
  </si>
  <si>
    <t>153,"Godfather's Pizza",NA,250,"4.9%",569,"3.8%",NA,"Pizza"</t>
  </si>
  <si>
    <t>154,"Huddle House",NA,247,"0.9%",342,"-2.6%",NA,"Family Style"</t>
  </si>
  <si>
    <t>155,"Mastro's Restaurants",NA,242,"9.7%",18,"5.9%",NA,"Steak"</t>
  </si>
  <si>
    <t>156,"Uncle Julio's",NA,239,"11.7%",36,"2.9%",NA,"Mexican"</t>
  </si>
  <si>
    <t>157,"Fazoli's",NA,238,"2.8%",215,"0.0%",NA,"Sandwich"</t>
  </si>
  <si>
    <t>158,"Rubio's",NA,232,"-0.1%",197,"-3.4%",NA,"Mexican"</t>
  </si>
  <si>
    <t>159,"Legal Sea Foods",NA,227,"-1.9%",34,"-2.9%",NA,"Seafood"</t>
  </si>
  <si>
    <t>160,"A&amp;W All-American Food","The chain's 100th birthday found it working to reconcile its classic heritage with modern trends. It has doubled down on social media marketing to target younger generations and introduced tablet-based staff training to slow turnover. It's exploring delivery, though ""the jury's still out,"" CEO Kevin Bazner told RB in July.",227,"1.8%",575,"-6.5%",NA,"Burger"</t>
  </si>
  <si>
    <t>161,"Newk's Eatery",NA,227,"0.4%",121,"-0.8%",NA,"Sandwich"</t>
  </si>
  <si>
    <t>162,"Fuzzy's Taco Shop",NA,225,"8.6%",152,"3.4%",NA,"Mexican"</t>
  </si>
  <si>
    <t>163,"Sbarro",NA,218,"-4.0%",300,"-2.6%",NA,"Pizza"</t>
  </si>
  <si>
    <t>164,"Romano's Macaroni Grill",NA,218,"-4.6%",85,"-3.4%",NA,"Italian/Pizza"</t>
  </si>
  <si>
    <t>165,"Brio Tuscan Grille",NA,217,"-4.0%",57,"-1.7%",NA,"Italian/Pizza"</t>
  </si>
  <si>
    <t>166,"Lazy Dog Restaurant &amp; Bar",NA,213,"21.3%",36,"20.0%",NA,"Varied Menu"</t>
  </si>
  <si>
    <t>167,"Souplantation &amp; Sweet Tomatoes",NA,211,"-3.3%",97,"0.0%",NA,"Family Casual"</t>
  </si>
  <si>
    <t>168,"Friendly's","The family-dining chain closed many underperforming units in 2019, including 23 on one day in April, reducing its unit count by more than 20% for the year. The 86-year-old brand cited ""shifting consumer demographics and market dynamics"" as challenges.",210,"-15.3%",160,"-20.4%",NA,"Family Style"</t>
  </si>
  <si>
    <t>169,"Del Frisco's Double Eagle Steak House",NA,205,"12.4%",16,"0.0%",NA,"Steak"</t>
  </si>
  <si>
    <t>170,"Penn Station East Coast Subs",NA,201,"0.8%",306,"-1.3%",NA,"Sandwich"</t>
  </si>
  <si>
    <t>171,"Cinnabon",NA,201,"5.6%",956,"3.5%",NA,"Snack"</t>
  </si>
  <si>
    <t>172,"Uno Pizzeria &amp; Grill",NA,196,"-12.9%",85,"-14.1%",NA,"Italian/Pizza"</t>
  </si>
  <si>
    <t>173,"J. Alexander's",NA,195,"2.8%",34,"3.0%",NA,"Varied Menu"</t>
  </si>
  <si>
    <t>174,"Luby's","Luby's, another of the industry's oldest concepts, also closed underperforming locations last year, shrinking its footprint by 6%. And in September, it said it had begun investigating ""strategic alternatives,"" or a sale, merger or refinancing.",195,"-7.5%",79,"-6.0%",NA,"Family Casual"</t>
  </si>
  <si>
    <t>175,"Which Wich","Under the guidance of new President Cherry Hearn, the chain updated its food and beverage menu, starting with the introduction of french fries in July. It also planned to add more chef-created sandwiches in addition to its extensive build-your-own options.",193,"-4.2%",372,"-3.9%",NA,"Sandwich"</t>
  </si>
  <si>
    <t>176,"Firebirds Wood Fired Grill",NA,192,"7.4%",51,"6.3%",NA,"Varied Menu"</t>
  </si>
  <si>
    <t>177,"Le Pain Quotidien",NA,192,"1.2%",94,"0.0%",NA,"Bakery Cafe"</t>
  </si>
  <si>
    <t>178,"Sonny's BBQ",NA,191,"-8.3%",94,"-6.9%",NA,"BBQ"</t>
  </si>
  <si>
    <t>179,"True Food Kitchen","The health-focused chain with a rotating menu is in growth mode, with plans for new units as well as its first stand-alone cocktail and juice bar, located next to a new True Food Kitchen location at Caesars Palace in Las Vegas.",190,"13.8%",32,"28.0%",NA,"Varied Menu"</t>
  </si>
  <si>
    <t>180,"Buca di Beppo",NA,189,"-5.7%",76,"-1.3%",NA,"Italian/Pizza"</t>
  </si>
  <si>
    <t>181,"Hard Rock Cafe",NA,187,"-5.2%",40,"-4.8%",NA,"Varied Menu"</t>
  </si>
  <si>
    <t>182,"Johnny Rockets",NA,186,"-10.2%",155,"-11.4%",NA,"Varied Menu"</t>
  </si>
  <si>
    <t>183,"Fuddruckers",NA,185,"-15.8%",138,"-11.5%",NA,"Burger"</t>
  </si>
  <si>
    <t>184,"The Original Pancake House",NA,185,"3.1%",141,"0.0%",NA,"Family Style"</t>
  </si>
  <si>
    <t>185,"Sweetgreen","In June, Sweetgreen made its first acquisition: meal delivery service Galley Foods. The move signaled a new and more aggressive approach to delivery for the fast-growing chain, combining Sweetgreen's supply chain with Galley's knowledge of home delivery.",184,"16.8%",102,"10.9%",NA,"Healthy"</t>
  </si>
  <si>
    <t>186,"Golden Chick",NA,183,"6.7%",184,"0.5%",NA,"Chicken"</t>
  </si>
  <si>
    <t>187,"Mountain Mike's Pizza",NA,181,"10.9%",215,"5.4%",NA,"Pizza"</t>
  </si>
  <si>
    <t>188,"Bubba Gump Shrimp Co.",NA,181,"-2.9%",27,"0.0%",NA,"Seafood"</t>
  </si>
  <si>
    <t>189,"The Melting Pot",NA,181,"-6.5%",105,"-7.9%",NA,"Varied Menu"</t>
  </si>
  <si>
    <t>190,"Farmer Boys",NA,179,"1.7%",93,"1.1%",NA,"Burger"</t>
  </si>
  <si>
    <t>191,"Donatos Pizza",NA,179,"3.8%",165,"3.1%",NA,"Pizza"</t>
  </si>
  <si>
    <t>192,"Shoney's",NA,179,"-4.4%",126,"-0.8%",NA,"Family Style"</t>
  </si>
  <si>
    <t>193,"Taco Bueno",NA,178,"-12.4%",145,"-12.1%",NA,"Mexican"</t>
  </si>
  <si>
    <t>194,"Claim Jumper",NA,177,"-10.2%",35,"-5.4%",NA,"Varied Menu"</t>
  </si>
  <si>
    <t>195,"Wetzel's Pretzels",NA,177,"3.9%",353,"5.4%",NA,"Snack"</t>
  </si>
  <si>
    <t>196,"La Madeleine Country French Cafe",NA,174,"2.4%",87,"0.0%",NA,"Bakery Cafe"</t>
  </si>
  <si>
    <t>197,"Giordano's",NA,173,"5.5%",70,"1.4%",NA,"Italian/Pizza"</t>
  </si>
  <si>
    <t>198,"Islands Fine Burgers &amp; Drinks",NA,173,"0.9%",56,"0.0%",NA,"Varied Menu"</t>
  </si>
  <si>
    <t>199,"Mimi's Bistro &amp; Bakery",NA,172,"-4.8%",77,"-2.5%",NA,"Varied Menu"</t>
  </si>
  <si>
    <t>200,"Beef 'O' Brady's","The chain is working on a rejuvenation, converting about 26 of its franchised units to company-owned ones and using those as testing grounds for new initiatives. It rolled out a separate lunch menu and added some higher-quality dinner options such as steak and salmon, and is also investing in high-tech fryers and a new POS system.",171,"-5.0%",153,"-2.5%",NA,"Sports Bar"</t>
  </si>
  <si>
    <t>201,"Metro Diner",NA,171,"36.3%",69,"3.0%",NA,"Family Style"</t>
  </si>
  <si>
    <t>202,"Bill Miller Bar-B-Q",NA,170,"3.6%",75,"1.4%",NA,"BBQ"</t>
  </si>
  <si>
    <t>203,"Black Angus Steakhouse",NA,168,"1.6%",42,"-4.5%",NA,"Steak"</t>
  </si>
  <si>
    <t>204,"Smokey Bones Bar &amp; Fire Grill","New CEO James O'Reilly, hired in May, plans to overhaul the barbecue chain's menu this year, disposing of items such as fish and chips and getting back to the basics with house-smoked barbecue, steaks and burgers. It will also focus more on the bar, with an emphasis on craft beer and cocktails.",168,"-1.3%",61,"-3.2%",NA,"BBQ"</t>
  </si>
  <si>
    <t>205,"Joe's Crab Shack",NA,166,"-7.4%",53,"-7.0%",NA,"Seafood"</t>
  </si>
  <si>
    <t>206,"LaRosa's Pizzeria",NA,164,"3.7%",66,"3.1%",NA,"Italian/Pizza"</t>
  </si>
  <si>
    <t>207,"Roosters",NA,163,"6.7%",42,"2.4%",NA,"Varied Menu"</t>
  </si>
  <si>
    <t>208,"Great Harvest Bread Co.",NA,162,"-1.9%",182,"-0.5%",NA,"Bakery Cafe"</t>
  </si>
  <si>
    <t>209,"Shari's Cafe and Pies",NA,161,"-2.4%",92,"0.0%",NA,"Family Style"</t>
  </si>
  <si>
    <t>210,"Lee's Famous Recipe Chicken",NA,161,"-2.3%",129,"-1.5%",NA,"Chicken"</t>
  </si>
  <si>
    <t>211,"Wayback Burgers",NA,159,"2.0%",143,"0.7%",NA,"Burger"</t>
  </si>
  <si>
    <t>212,"McCormick &amp; Schmick's",NA,157,"-15.6%",35,"-14.6%",NA,"Seafood"</t>
  </si>
  <si>
    <t>213,"Grand Lux Cafe",NA,157,"1.2%",13,"0.0%",NA,"Varied Menu"</t>
  </si>
  <si>
    <t>214,"Anthony's Coal Fired Pizza",NA,153,"4.0%",68,"1.5%",NA,"Italian/Pizza"</t>
  </si>
  <si>
    <t>215,"Chicken Salad Chick","Benefiting from being perhaps the only chain focusing on chicken salad, Chicken Salad Chick announced its 16th consecutive quarter of same-store sales growth in February 2020. It was acquired by private-equity firm Brentwood Associates in November.",153,"39.5%",144,"38.5%",NA,"Chicken"</t>
  </si>
  <si>
    <t>216,"Paris Baguette","The chain originating in South Korea is growing quickly in the U.S. under the guidance of growth-chain veterans such as Darren Tipton and Jack Moran, formerly of Le Pain Quotidien. Tipton moved up to CEO for U.S. operations in 2019, and Moran became the company's global chief.",152,"14.5%",81,"8.0%",NA,"Bakery Cafe"</t>
  </si>
  <si>
    <t>217,"Eat'n Park",NA,152,"-6.5%",63,"-7.4%",NA,"Family Style"</t>
  </si>
  <si>
    <t>218,"Hurricane Grill &amp; Wings",NA,151,"0.8%",56,"0.0%",NA,"Sports Bar"</t>
  </si>
  <si>
    <t>219,"The Old Spaghetti Factory",NA,150,"2.2%",42,"0.0%",NA,"Italian/Pizza"</t>
  </si>
  <si>
    <t>220,"Taziki's Mediterranean Cafe",NA,149,"11.9%",93,"6.9%",NA,"Ethnic"</t>
  </si>
  <si>
    <t>221,"Menchie's Frozen Yogurt",NA,149,"-3.1%",416,"-2.1%",NA,"Frozen Desserts"</t>
  </si>
  <si>
    <t>222,"Bruegger's Bagels",NA,148,"-4.5%",210,"-2.8%",NA,"Bakery Cafe"</t>
  </si>
  <si>
    <t>223,"Tijuana Flats",NA,147,"6.5%",139,"2.2%",NA,"Mexican"</t>
  </si>
  <si>
    <t>224,"Duffy's Sports Grill",NA,144,"2.6%",34,"0.0%",NA,"Sports Bar"</t>
  </si>
  <si>
    <t>225,"Eddie V's Prime Seafood",NA,144,"8.1%",21,"10.5%",NA,"Seafood"</t>
  </si>
  <si>
    <t>226,"Topgolf","The eatertainment chain developed a new, smaller prototype that will allow it to go into small and midsize cities, greatly expanding its potential market. It was focused on places with between 100,000 and 500,000 residents. The first such location opened in Kirkland, Wash., in January.",144,"14.6%",54,"14.9%",NA,"Varied Menu"</t>
  </si>
  <si>
    <t>227,"Ocean Prime",NA,144,"20.2%",16,"6.7%",NA,"Seafood"</t>
  </si>
  <si>
    <t>228,"Pappasito's Cantina",NA,143,"2.2%",25,"0.0%",NA,"Mexican"</t>
  </si>
  <si>
    <t>229,"Pollo Campero",NA,143,"1.1%",78,"-2.5%",NA,"Chicken"</t>
  </si>
  <si>
    <t>230,"Houlihan's","The chain filed for bankruptcy in November and was simultaneously acquired by Landry's for $40 million. The move followed the closure of 12 unprofitable stores. It joins Landry's collection of polished-casual chains such as Morton's The Steakhouse and McCormick &amp; Schmick's.",143,"-21.2%",45,"-32.8%",NA,"Varied Menu"</t>
  </si>
  <si>
    <t>231,"Old Country Buffet/HomeTown Buffet",NA,142,"-18.8%",49,"-24.6%",NA,"Family Casual"</t>
  </si>
  <si>
    <t>232,"Great American Cookies",NA,142,"2.7%",368,"2.2%",NA,"Snack"</t>
  </si>
  <si>
    <t>233,"Nobu",NA,139,"9.4%",17,"13.3%",NA,"Asian"</t>
  </si>
  <si>
    <t>234,"BurgerFi",NA,138,"3.0%",112,"7.7%",NA,"Burger"</t>
  </si>
  <si>
    <t>235,"Mission BBQ",NA,136,"25.0%",90,"21.6%",NA,"BBQ"</t>
  </si>
  <si>
    <t>236,"Walk-On's Sports Bistreaux",NA,133,"27.8%",33,"37.5%",NA,"Sports Bar"</t>
  </si>
  <si>
    <t>237,"The Coffee Bean &amp; Tea Leaf","The LA-based chain was acquired by Jollibee in July for $350 million, becoming the largest deal yet for the international fast-food company. Jollibee planned to grow the The Coffee Bean in Asia, where there's a race for coffee supremacy.",133,"-2.1%",282,"-0.7%",NA,"Coffee Cafe"</t>
  </si>
  <si>
    <t>238,"Yogurtland",NA,132,"-2.6%",267,"-2.2%",NA,"Frozen Desserts"</t>
  </si>
  <si>
    <t>239,"Daylight Donuts",NA,132,"2.2%",415,"0.2%",NA,"Snack"</t>
  </si>
  <si>
    <t>240,"WaBa Grill",NA,132,"3.7%",191,"0.0%",NA,"Asian/Noodle"</t>
  </si>
  <si>
    <t>241,"54th Street Restaurant &amp; Drafthouse",NA,131,"4.5%",31,"6.9%",NA,"Varied Menu"</t>
  </si>
  <si>
    <t>242,"Biggby Coffee",NA,129,"3.8%",240,"0.8%",NA,"Coffee Cafe"</t>
  </si>
  <si>
    <t>243,"Costa Vida Fresh Mexican Grill",NA,129,"5.2%",93,"2.2%",NA,"Mexican"</t>
  </si>
  <si>
    <t>244,"L&amp;L Hawaiian Barbecue",NA,129,"5.1%",195,"3.7%",NA,"BBQ"</t>
  </si>
  <si>
    <t>245,"Gyu-Kaku",NA,129,"18.6%",52,"8.3%",NA,"Asian"</t>
  </si>
  <si>
    <t>246,"Rainforest Cafe",NA,129,"-10.4%",18,"-5.3%",NA,"Varied Menu"</t>
  </si>
  <si>
    <t>247,"PDQ",NA,127,"-5.5%",56,"-11.1%",NA,"Chicken"</t>
  </si>
  <si>
    <t>248,"Lupe Tortilla",NA,127,"12.1%",25,"8.7%",NA,"Mexican"</t>
  </si>
  <si>
    <t>249,"Cook-Out Restaurant",NA,126,"10.1%",270,"7.1%",NA,"Burger"</t>
  </si>
  <si>
    <t>250,"Jollibee",NA,126,"15.2%",40,"11.1%",NA,"Chicken"</t>
  </si>
  <si>
    <t>Rank</t>
  </si>
  <si>
    <t>Restaurant</t>
  </si>
  <si>
    <t>Units</t>
  </si>
  <si>
    <t>Segment_Category</t>
  </si>
  <si>
    <t>McDonald's</t>
  </si>
  <si>
    <t>Quick Service &amp; Burger</t>
  </si>
  <si>
    <t>Starbucks</t>
  </si>
  <si>
    <t>Quick Service &amp; Coffee Cafe</t>
  </si>
  <si>
    <t>Chick-fil-A</t>
  </si>
  <si>
    <t>Quick Service &amp; Chicken</t>
  </si>
  <si>
    <t>Taco Bell</t>
  </si>
  <si>
    <t>Quick Service &amp; Mexican</t>
  </si>
  <si>
    <t>Burger King</t>
  </si>
  <si>
    <t>Subway</t>
  </si>
  <si>
    <t>Quick Service &amp; Sandwich</t>
  </si>
  <si>
    <t>Wendy's</t>
  </si>
  <si>
    <t>Dunkin'</t>
  </si>
  <si>
    <t>Domino's</t>
  </si>
  <si>
    <t>Quick Service &amp; Pizza</t>
  </si>
  <si>
    <t>Panera Bread</t>
  </si>
  <si>
    <t>Fast Casual &amp; Bakery Cafe</t>
  </si>
  <si>
    <t>Pizza Hut</t>
  </si>
  <si>
    <t>Chipotle Mexican Grill</t>
  </si>
  <si>
    <t>Fast Casual &amp; Mexican</t>
  </si>
  <si>
    <t>Sonic Drive-In</t>
  </si>
  <si>
    <t>KFC</t>
  </si>
  <si>
    <t>Olive Garden</t>
  </si>
  <si>
    <t>Casual Dining &amp; Italian/Pizza</t>
  </si>
  <si>
    <t>Applebee's</t>
  </si>
  <si>
    <t>Casual Dining &amp; Varied Menu</t>
  </si>
  <si>
    <t>Panda Express</t>
  </si>
  <si>
    <t>Fast Casual &amp; Asian/Noodle</t>
  </si>
  <si>
    <t>Arby's</t>
  </si>
  <si>
    <t>Popeyes Louisiana Kitchen</t>
  </si>
  <si>
    <t>Little Caesars</t>
  </si>
  <si>
    <t>Dairy Queen</t>
  </si>
  <si>
    <t>Quick Service &amp; Frozen Desserts</t>
  </si>
  <si>
    <t>Buffalo Wild Wings</t>
  </si>
  <si>
    <t>Casual Dining &amp; Sports Bar</t>
  </si>
  <si>
    <t>Chili's Grill &amp; Bar</t>
  </si>
  <si>
    <t>Jack in the Box</t>
  </si>
  <si>
    <t>IHOP</t>
  </si>
  <si>
    <t>Family Dining &amp; Family Style</t>
  </si>
  <si>
    <t>Texas Roadhouse</t>
  </si>
  <si>
    <t>Casual Dining &amp; Steak</t>
  </si>
  <si>
    <t>Denny's</t>
  </si>
  <si>
    <t>Papa John's</t>
  </si>
  <si>
    <t>Outback Steakhouse</t>
  </si>
  <si>
    <t>Whataburger</t>
  </si>
  <si>
    <t>Red Lobster</t>
  </si>
  <si>
    <t>Casual Dining &amp; Seafood</t>
  </si>
  <si>
    <t>Cracker Barrel</t>
  </si>
  <si>
    <t>The Cheesecake Factory</t>
  </si>
  <si>
    <t>Jimmy John's Gourmet Sandwiches</t>
  </si>
  <si>
    <t>Fast Casual &amp; Sandwich</t>
  </si>
  <si>
    <t>Hardee's</t>
  </si>
  <si>
    <t>Zaxby's</t>
  </si>
  <si>
    <t>Fast Casual &amp; Chicken</t>
  </si>
  <si>
    <t>LongHorn Steakhouse</t>
  </si>
  <si>
    <t>Culver's</t>
  </si>
  <si>
    <t>Golden Corral</t>
  </si>
  <si>
    <t>Quick Service &amp; Family Casual</t>
  </si>
  <si>
    <t>Five Guys Burgers and Fries</t>
  </si>
  <si>
    <t>Fast Casual &amp; Burger</t>
  </si>
  <si>
    <t>Red Robin Gourmet Burgers and Brews</t>
  </si>
  <si>
    <t>Raising Cane's Chicken Fingers</t>
  </si>
  <si>
    <t>Carl's Jr.</t>
  </si>
  <si>
    <t>Wingstop</t>
  </si>
  <si>
    <t>Waffle House</t>
  </si>
  <si>
    <t>Jersey Mike's Subs</t>
  </si>
  <si>
    <t>Bojangles'</t>
  </si>
  <si>
    <t>BJ's Restaurant &amp; Brewhouse</t>
  </si>
  <si>
    <t>TGI Fridays</t>
  </si>
  <si>
    <t>In-N-Out Burger</t>
  </si>
  <si>
    <t>Steak 'n Shake</t>
  </si>
  <si>
    <t>P.F. Chang's</t>
  </si>
  <si>
    <t>Casual Dining &amp; Asian</t>
  </si>
  <si>
    <t>Qdoba Mexican Eats</t>
  </si>
  <si>
    <t>El Pollo Loco</t>
  </si>
  <si>
    <t>Krispy Kreme</t>
  </si>
  <si>
    <t>Quick Service &amp; Snack</t>
  </si>
  <si>
    <t>Hooters</t>
  </si>
  <si>
    <t>Del Taco</t>
  </si>
  <si>
    <t>Firehouse Subs</t>
  </si>
  <si>
    <t>Bob Evans</t>
  </si>
  <si>
    <t>Moe's Southwest Grill</t>
  </si>
  <si>
    <t>Papa Murphy's Pizza</t>
  </si>
  <si>
    <t>Ruby Tuesday</t>
  </si>
  <si>
    <t>McAlister's Deli</t>
  </si>
  <si>
    <t>Cheddar's Scratch Kitchen</t>
  </si>
  <si>
    <t>Church's Chicken</t>
  </si>
  <si>
    <t>Tim Hortons</t>
  </si>
  <si>
    <t>Ruth's Chris Steak House</t>
  </si>
  <si>
    <t>Steak</t>
  </si>
  <si>
    <t>Carrabba's Italian Grill</t>
  </si>
  <si>
    <t>Jason's Deli</t>
  </si>
  <si>
    <t>Marco's Pizza</t>
  </si>
  <si>
    <t>Shake Shack</t>
  </si>
  <si>
    <t>California Pizza Kitchen</t>
  </si>
  <si>
    <t>Baskin-Robbins</t>
  </si>
  <si>
    <t>Yard House</t>
  </si>
  <si>
    <t>Bonefish Grill</t>
  </si>
  <si>
    <t>White Castle</t>
  </si>
  <si>
    <t>Tropical Smoothie Cafe</t>
  </si>
  <si>
    <t>Quick Service &amp; Beverage</t>
  </si>
  <si>
    <t>Dave &amp; Buster's</t>
  </si>
  <si>
    <t>Sports Bar</t>
  </si>
  <si>
    <t>Dutch Bros. Coffee</t>
  </si>
  <si>
    <t>Captain D's Seafood Kitchen</t>
  </si>
  <si>
    <t>Quick Service &amp; Seafood</t>
  </si>
  <si>
    <t>Auntie Anne's</t>
  </si>
  <si>
    <t>First Watch</t>
  </si>
  <si>
    <t>Perkins Restaurant &amp; Bakery</t>
  </si>
  <si>
    <t>Freddy's Frozen Custard &amp; Steakburgers</t>
  </si>
  <si>
    <t>Checkers Drive-In Restaurants</t>
  </si>
  <si>
    <t>Noodles &amp; Company</t>
  </si>
  <si>
    <t>Einstein Bros. Bagels</t>
  </si>
  <si>
    <t>Quick Service &amp; Bakery Cafe</t>
  </si>
  <si>
    <t>Jamba</t>
  </si>
  <si>
    <t>Portillo's</t>
  </si>
  <si>
    <t>Boston Market</t>
  </si>
  <si>
    <t>The Habit Burger Grill</t>
  </si>
  <si>
    <t>Logan's Roadhouse</t>
  </si>
  <si>
    <t>MOD Pizza</t>
  </si>
  <si>
    <t>Fast Casual &amp; Pizza</t>
  </si>
  <si>
    <t>Smoothie King</t>
  </si>
  <si>
    <t>Mellow Mushroom</t>
  </si>
  <si>
    <t>The Capital Grille</t>
  </si>
  <si>
    <t>Fine Dining &amp; Steak</t>
  </si>
  <si>
    <t>Round Table Pizza</t>
  </si>
  <si>
    <t>Miller's Ale House</t>
  </si>
  <si>
    <t>Potbelly sandwich Shop</t>
  </si>
  <si>
    <t>Hungry Howie's Pizza</t>
  </si>
  <si>
    <t>Charleys Philly Steaks</t>
  </si>
  <si>
    <t>Chuy's</t>
  </si>
  <si>
    <t>Mexican</t>
  </si>
  <si>
    <t>O'Charley's</t>
  </si>
  <si>
    <t>Varied Menu</t>
  </si>
  <si>
    <t>Pollo Tropical</t>
  </si>
  <si>
    <t>Chicken</t>
  </si>
  <si>
    <t>Maggiano's Little Italy</t>
  </si>
  <si>
    <t>Italian/Pizza</t>
  </si>
  <si>
    <t>Cicis</t>
  </si>
  <si>
    <t>Pizza</t>
  </si>
  <si>
    <t>Long John Silver's</t>
  </si>
  <si>
    <t>Seafood</t>
  </si>
  <si>
    <t>Saltgrass Steak House</t>
  </si>
  <si>
    <t>Chuck E. Cheese's</t>
  </si>
  <si>
    <t>Taco John's</t>
  </si>
  <si>
    <t>Texas de Brazil Churrascaria</t>
  </si>
  <si>
    <t>Cold Stone Creamery</t>
  </si>
  <si>
    <t>Frozen Desserts</t>
  </si>
  <si>
    <t>Blaze Pizza</t>
  </si>
  <si>
    <t>Peet's Coffee</t>
  </si>
  <si>
    <t>Coffee Cafe</t>
  </si>
  <si>
    <t>Dickey's Barbecue Pit</t>
  </si>
  <si>
    <t>BBQ</t>
  </si>
  <si>
    <t>Zoes Kitchen</t>
  </si>
  <si>
    <t>Sandwich</t>
  </si>
  <si>
    <t>Corner Bakery_Cafe</t>
  </si>
  <si>
    <t>Bakery Cafe</t>
  </si>
  <si>
    <t>Krystal Co.</t>
  </si>
  <si>
    <t>Burger</t>
  </si>
  <si>
    <t>Benihana</t>
  </si>
  <si>
    <t>Asian</t>
  </si>
  <si>
    <t>Cooper's Hawk Winery &amp; Restaurants</t>
  </si>
  <si>
    <t>Big Boy/Frisch's Big Boy</t>
  </si>
  <si>
    <t>Family Style</t>
  </si>
  <si>
    <t>Black Bear Diner</t>
  </si>
  <si>
    <t>Twin Peaks</t>
  </si>
  <si>
    <t>Schlotzsky's</t>
  </si>
  <si>
    <t>Jet's Pizza</t>
  </si>
  <si>
    <t>Famous Dave's</t>
  </si>
  <si>
    <t>On The Border Mexican Grill &amp; Cantina</t>
  </si>
  <si>
    <t>Fogo de Chao</t>
  </si>
  <si>
    <t>Ninety Nine Restaurants</t>
  </si>
  <si>
    <t>Village Inn</t>
  </si>
  <si>
    <t>Taco Cabana</t>
  </si>
  <si>
    <t>Fleming's Prime Steakhouse &amp; Wine Bar</t>
  </si>
  <si>
    <t>Caribou Coffee</t>
  </si>
  <si>
    <t>Jack's</t>
  </si>
  <si>
    <t>Au Bon Pain</t>
  </si>
  <si>
    <t>Bar Louie</t>
  </si>
  <si>
    <t>Sarku Japan</t>
  </si>
  <si>
    <t>Asian/Noodle</t>
  </si>
  <si>
    <t>Old Chicago Pizza &amp; Taproom</t>
  </si>
  <si>
    <t>Rally's Hamburgers</t>
  </si>
  <si>
    <t>Torchy's Tacos</t>
  </si>
  <si>
    <t>Pizza Ranch</t>
  </si>
  <si>
    <t>Pappadeaux Seafood Kitchen</t>
  </si>
  <si>
    <t>Braum's Ice Cream &amp; Dairy Stores</t>
  </si>
  <si>
    <t>Pei Wei Asian Diner</t>
  </si>
  <si>
    <t>Cafe Rio Mexican Grill</t>
  </si>
  <si>
    <t>Morton's The Steakhouse</t>
  </si>
  <si>
    <t>Smashburger</t>
  </si>
  <si>
    <t>Wienerschnitzel</t>
  </si>
  <si>
    <t>Sizzler</t>
  </si>
  <si>
    <t>Family Casual</t>
  </si>
  <si>
    <t>Seasons 52</t>
  </si>
  <si>
    <t>Bahama Breeze Island Grille</t>
  </si>
  <si>
    <t>Pret A Manger</t>
  </si>
  <si>
    <t>Godfather's Pizza</t>
  </si>
  <si>
    <t>Huddle House</t>
  </si>
  <si>
    <t>Mastro's Restaurants</t>
  </si>
  <si>
    <t>Uncle Julio's</t>
  </si>
  <si>
    <t>Fazoli's</t>
  </si>
  <si>
    <t>Rubio's</t>
  </si>
  <si>
    <t>Legal Sea Foods</t>
  </si>
  <si>
    <t>A&amp;W All-American Food</t>
  </si>
  <si>
    <t>Newk's Eatery</t>
  </si>
  <si>
    <t>Fuzzy's Taco Shop</t>
  </si>
  <si>
    <t>Sbarro</t>
  </si>
  <si>
    <t>Romano's Macaroni Grill</t>
  </si>
  <si>
    <t>Brio Tuscan Grille</t>
  </si>
  <si>
    <t>Lazy Dog Restaurant &amp; Bar</t>
  </si>
  <si>
    <t>Souplantation &amp; Sweet Tomatoes</t>
  </si>
  <si>
    <t>Friendly's</t>
  </si>
  <si>
    <t>Del Frisco's Double Eagle Steak House</t>
  </si>
  <si>
    <t>Penn Station East Coast Subs</t>
  </si>
  <si>
    <t>Cinnabon</t>
  </si>
  <si>
    <t>Snack</t>
  </si>
  <si>
    <t>Uno Pizzeria &amp; Grill</t>
  </si>
  <si>
    <t>J. Alexander's</t>
  </si>
  <si>
    <t>Luby's</t>
  </si>
  <si>
    <t>Which Wich</t>
  </si>
  <si>
    <t>Firebirds Wood Fired Grill</t>
  </si>
  <si>
    <t>Le Pain Quotidien</t>
  </si>
  <si>
    <t>Sonny's BBQ</t>
  </si>
  <si>
    <t>True Food Kitchen</t>
  </si>
  <si>
    <t>Buca di Beppo</t>
  </si>
  <si>
    <t>Hard Rock Cafe</t>
  </si>
  <si>
    <t>Johnny Rockets</t>
  </si>
  <si>
    <t>Fuddruckers</t>
  </si>
  <si>
    <t>The Original Pancake House</t>
  </si>
  <si>
    <t>Sweetgreen</t>
  </si>
  <si>
    <t>Healthy</t>
  </si>
  <si>
    <t>Golden Chick</t>
  </si>
  <si>
    <t>Mountain Mike's Pizza</t>
  </si>
  <si>
    <t>Bubba Gump Shrimp Co.</t>
  </si>
  <si>
    <t>The Melting Pot</t>
  </si>
  <si>
    <t>Farmer Boys</t>
  </si>
  <si>
    <t>Donatos Pizza</t>
  </si>
  <si>
    <t>Shoney's</t>
  </si>
  <si>
    <t>Taco Bueno</t>
  </si>
  <si>
    <t>Claim Jumper</t>
  </si>
  <si>
    <t>Wetzel's Pretzels</t>
  </si>
  <si>
    <t>La Madeleine Country French Cafe</t>
  </si>
  <si>
    <t>Giordano's</t>
  </si>
  <si>
    <t>Islands Fine Burgers &amp; Drinks</t>
  </si>
  <si>
    <t>Mimi's Bistro &amp; Bakery</t>
  </si>
  <si>
    <t>Beef 'O' Brady's</t>
  </si>
  <si>
    <t>Metro Diner</t>
  </si>
  <si>
    <t>Bill Miller Bar-B-Q</t>
  </si>
  <si>
    <t>Black Angus Steakhouse</t>
  </si>
  <si>
    <t>Smokey Bones Bar &amp; Fire Grill</t>
  </si>
  <si>
    <t>Joe's Crab Shack</t>
  </si>
  <si>
    <t>LaRosa's Pizzeria</t>
  </si>
  <si>
    <t>Roosters</t>
  </si>
  <si>
    <t>Great Harvest Bread Co.</t>
  </si>
  <si>
    <t>Shari's Cafe and Pies</t>
  </si>
  <si>
    <t>Lee's Famous Recipe Chicken</t>
  </si>
  <si>
    <t>Wayback Burgers</t>
  </si>
  <si>
    <t>McCormick &amp; Schmick's</t>
  </si>
  <si>
    <t>Grand Lux Cafe</t>
  </si>
  <si>
    <t>Anthony's Coal Fired Pizza</t>
  </si>
  <si>
    <t>Chicken Salad Chick</t>
  </si>
  <si>
    <t>Paris Baguette</t>
  </si>
  <si>
    <t>Eat'n Park</t>
  </si>
  <si>
    <t>Hurricane Grill &amp; Wings</t>
  </si>
  <si>
    <t>The Old Spaghetti Factory</t>
  </si>
  <si>
    <t>Taziki's Mediterranean Cafe</t>
  </si>
  <si>
    <t>Ethnic</t>
  </si>
  <si>
    <t>Menchie's Frozen Yogurt</t>
  </si>
  <si>
    <t>Bruegger's Bagels</t>
  </si>
  <si>
    <t>Tijuana Flats</t>
  </si>
  <si>
    <t>Duffy's Sports Grill</t>
  </si>
  <si>
    <t>Eddie V's Prime Seafood</t>
  </si>
  <si>
    <t>Topgolf</t>
  </si>
  <si>
    <t>Ocean Prime</t>
  </si>
  <si>
    <t>Pappasito's Cantina</t>
  </si>
  <si>
    <t>Pollo Campero</t>
  </si>
  <si>
    <t>Houlihan's</t>
  </si>
  <si>
    <t>Old Country Buffet/HomeTown Buffet</t>
  </si>
  <si>
    <t>Great American Cookies</t>
  </si>
  <si>
    <t>Nobu</t>
  </si>
  <si>
    <t>BurgerFi</t>
  </si>
  <si>
    <t>Mission BBQ</t>
  </si>
  <si>
    <t>Walk-On's Sports Bistreaux</t>
  </si>
  <si>
    <t>The Coffee Bean &amp; Tea Leaf</t>
  </si>
  <si>
    <t>Yogurtland</t>
  </si>
  <si>
    <t>Daylight Donuts</t>
  </si>
  <si>
    <t>WaBa Grill</t>
  </si>
  <si>
    <t>54th Street Restaurant &amp; Drafthouse</t>
  </si>
  <si>
    <t>Biggby Coffee</t>
  </si>
  <si>
    <t>Costa Vida Fresh Mexican Grill</t>
  </si>
  <si>
    <t>L&amp;L Hawaiian Barbecue</t>
  </si>
  <si>
    <t>Gyu-Kaku</t>
  </si>
  <si>
    <t>Rainforest Cafe</t>
  </si>
  <si>
    <t>PDQ</t>
  </si>
  <si>
    <t>Lupe Tortilla</t>
  </si>
  <si>
    <t>Cook-Out Restaurant</t>
  </si>
  <si>
    <t>Jollibee</t>
  </si>
  <si>
    <t>Units2018</t>
  </si>
  <si>
    <t>Sales (MM)</t>
  </si>
  <si>
    <t>YOY_Sales (%)</t>
  </si>
  <si>
    <t>YOY_Units(%)</t>
  </si>
  <si>
    <t>Sales2018 (MM)</t>
  </si>
  <si>
    <t>Sales/Unit (MM)</t>
  </si>
  <si>
    <t>Row Labels</t>
  </si>
  <si>
    <t>Grand Total</t>
  </si>
  <si>
    <t>Sum of Sales/Unit (MM)</t>
  </si>
  <si>
    <t>Vendas (MM)</t>
  </si>
  <si>
    <t>Unidades</t>
  </si>
  <si>
    <t>(Multiple Items)</t>
  </si>
  <si>
    <t>Média de vendas: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</si>
</sst>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R$&quot;\ * #,##0.00_-;\-&quot;R$&quot;\ * #,##0.00_-;_-&quot;R$&quot;\ * &quot;-&quot;??_-;_-@_-"/>
    <numFmt numFmtId="43" formatCode="_-* #,##0.00_-;\-* #,##0.00_-;_-* &quot;-&quot;??_-;_-@_-"/>
  </numFmts>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theme="4" tint="0.39997558519241921"/>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cellStyleXfs>
  <cellXfs count="13">
    <xf numFmtId="0" fontId="0" fillId="0" borderId="0" xfId="0"/>
    <xf numFmtId="10" fontId="0" fillId="0" borderId="0" xfId="0" applyNumberFormat="1"/>
    <xf numFmtId="2" fontId="0" fillId="0" borderId="0" xfId="44" applyNumberFormat="1" applyFont="1"/>
    <xf numFmtId="43" fontId="0" fillId="0" borderId="0" xfId="42" applyFont="1"/>
    <xf numFmtId="43" fontId="0" fillId="0" borderId="0" xfId="0" applyNumberFormat="1"/>
    <xf numFmtId="2" fontId="0" fillId="0" borderId="0" xfId="43" applyNumberFormat="1" applyFont="1"/>
    <xf numFmtId="2" fontId="0" fillId="0" borderId="0" xfId="0" applyNumberFormat="1"/>
    <xf numFmtId="1" fontId="0" fillId="0" borderId="0" xfId="0" applyNumberFormat="1"/>
    <xf numFmtId="0" fontId="0" fillId="0" borderId="0" xfId="0" pivotButton="1"/>
    <xf numFmtId="0" fontId="0" fillId="0" borderId="0" xfId="0" applyAlignment="1">
      <alignment horizontal="left"/>
    </xf>
    <xf numFmtId="0" fontId="0" fillId="0" borderId="0" xfId="0" applyNumberFormat="1"/>
    <xf numFmtId="0" fontId="16" fillId="0" borderId="10" xfId="0" applyFont="1" applyBorder="1" applyAlignment="1">
      <alignment horizontal="left"/>
    </xf>
    <xf numFmtId="0" fontId="16" fillId="0" borderId="10" xfId="0" applyNumberFormat="1" applyFont="1" applyBorder="1"/>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Currency" xfId="43"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4" builtinId="5"/>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3.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[Top250rests.xlsm]Sheet7!PivotTable13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Sheet7!$B$4</c:f>
              <c:strCache>
                <c:ptCount val="1"/>
                <c:pt idx="0">
                  <c:v>Total</c:v>
                </c:pt>
              </c:strCache>
            </c:strRef>
          </c:tx>
          <c:spPr>
            <a:solidFill>
              <a:schemeClr val="accent1"/>
            </a:solidFill>
            <a:ln>
              <a:noFill/>
            </a:ln>
            <a:effectLst/>
          </c:spPr>
          <c:invertIfNegative val="0"/>
          <c:cat>
            <c:strRef>
              <c:f>Sheet7!$A$5:$A$29</c:f>
              <c:strCache>
                <c:ptCount val="24"/>
                <c:pt idx="0">
                  <c:v>Bojangles'</c:v>
                </c:pt>
                <c:pt idx="1">
                  <c:v>Burger King</c:v>
                </c:pt>
                <c:pt idx="2">
                  <c:v>Carl's Jr.</c:v>
                </c:pt>
                <c:pt idx="3">
                  <c:v>Checkers Drive-In Restaurants</c:v>
                </c:pt>
                <c:pt idx="4">
                  <c:v>Chick-fil-A</c:v>
                </c:pt>
                <c:pt idx="5">
                  <c:v>Church's Chicken</c:v>
                </c:pt>
                <c:pt idx="6">
                  <c:v>Culver's</c:v>
                </c:pt>
                <c:pt idx="7">
                  <c:v>Dunkin'</c:v>
                </c:pt>
                <c:pt idx="8">
                  <c:v>Dutch Bros. Coffee</c:v>
                </c:pt>
                <c:pt idx="9">
                  <c:v>El Pollo Loco</c:v>
                </c:pt>
                <c:pt idx="10">
                  <c:v>Golden Corral</c:v>
                </c:pt>
                <c:pt idx="11">
                  <c:v>Hardee's</c:v>
                </c:pt>
                <c:pt idx="12">
                  <c:v>In-N-Out Burger</c:v>
                </c:pt>
                <c:pt idx="13">
                  <c:v>Jack in the Box</c:v>
                </c:pt>
                <c:pt idx="14">
                  <c:v>KFC</c:v>
                </c:pt>
                <c:pt idx="15">
                  <c:v>McDonald's</c:v>
                </c:pt>
                <c:pt idx="16">
                  <c:v>Popeyes Louisiana Kitchen</c:v>
                </c:pt>
                <c:pt idx="17">
                  <c:v>Sonic Drive-In</c:v>
                </c:pt>
                <c:pt idx="18">
                  <c:v>Starbucks</c:v>
                </c:pt>
                <c:pt idx="19">
                  <c:v>Steak 'n Shake</c:v>
                </c:pt>
                <c:pt idx="20">
                  <c:v>Tim Hortons</c:v>
                </c:pt>
                <c:pt idx="21">
                  <c:v>Wendy's</c:v>
                </c:pt>
                <c:pt idx="22">
                  <c:v>Whataburger</c:v>
                </c:pt>
                <c:pt idx="23">
                  <c:v>White Castle</c:v>
                </c:pt>
              </c:strCache>
            </c:strRef>
          </c:cat>
          <c:val>
            <c:numRef>
              <c:f>Sheet7!$B$5:$B$29</c:f>
              <c:numCache>
                <c:formatCode>General</c:formatCode>
                <c:ptCount val="24"/>
                <c:pt idx="0">
                  <c:v>1.7841823056300268</c:v>
                </c:pt>
                <c:pt idx="1">
                  <c:v>1.3890552681731554</c:v>
                </c:pt>
                <c:pt idx="2">
                  <c:v>1.2995433789954338</c:v>
                </c:pt>
                <c:pt idx="3">
                  <c:v>0.91609589041095896</c:v>
                </c:pt>
                <c:pt idx="4">
                  <c:v>4.5829959514170042</c:v>
                </c:pt>
                <c:pt idx="5">
                  <c:v>0.69379844961240311</c:v>
                </c:pt>
                <c:pt idx="6">
                  <c:v>2.4521857923497268</c:v>
                </c:pt>
                <c:pt idx="7">
                  <c:v>0.95825545171339566</c:v>
                </c:pt>
                <c:pt idx="8">
                  <c:v>1.5365853658536586</c:v>
                </c:pt>
                <c:pt idx="9">
                  <c:v>1.8547717842323652</c:v>
                </c:pt>
                <c:pt idx="10">
                  <c:v>3.6149068322981366</c:v>
                </c:pt>
                <c:pt idx="11">
                  <c:v>1.1098901098901099</c:v>
                </c:pt>
                <c:pt idx="12">
                  <c:v>2.7264957264957266</c:v>
                </c:pt>
                <c:pt idx="13">
                  <c:v>1.5621934908604547</c:v>
                </c:pt>
                <c:pt idx="14">
                  <c:v>1.1183271832718327</c:v>
                </c:pt>
                <c:pt idx="15">
                  <c:v>2.9186768741874909</c:v>
                </c:pt>
                <c:pt idx="16">
                  <c:v>1.5395799676898223</c:v>
                </c:pt>
                <c:pt idx="17">
                  <c:v>1.3292682926829269</c:v>
                </c:pt>
                <c:pt idx="18">
                  <c:v>1.4206924048109508</c:v>
                </c:pt>
                <c:pt idx="19">
                  <c:v>1.6493055555555556</c:v>
                </c:pt>
                <c:pt idx="20">
                  <c:v>0.99860139860139863</c:v>
                </c:pt>
                <c:pt idx="21">
                  <c:v>1.6681476418318524</c:v>
                </c:pt>
                <c:pt idx="22">
                  <c:v>3.0795180722891566</c:v>
                </c:pt>
                <c:pt idx="23">
                  <c:v>1.5606469002695418</c:v>
                </c:pt>
              </c:numCache>
            </c:numRef>
          </c:val>
          <c:extLst>
            <c:ext xmlns:c16="http://schemas.microsoft.com/office/drawing/2014/chart" uri="{C3380CC4-5D6E-409C-BE32-E72D297353CC}">
              <c16:uniqueId val="{00000001-EA30-455D-A8C1-1DF47064EC96}"/>
            </c:ext>
          </c:extLst>
        </c:ser>
        <c:dLbls>
          <c:showLegendKey val="0"/>
          <c:showVal val="0"/>
          <c:showCatName val="0"/>
          <c:showSerName val="0"/>
          <c:showPercent val="0"/>
          <c:showBubbleSize val="0"/>
        </c:dLbls>
        <c:gapWidth val="219"/>
        <c:overlap val="-27"/>
        <c:axId val="1159811648"/>
        <c:axId val="1159812896"/>
      </c:barChart>
      <c:catAx>
        <c:axId val="1159811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9812896"/>
        <c:crosses val="autoZero"/>
        <c:auto val="1"/>
        <c:lblAlgn val="ctr"/>
        <c:lblOffset val="100"/>
        <c:noMultiLvlLbl val="0"/>
      </c:catAx>
      <c:valAx>
        <c:axId val="11598128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98116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i="0" baseline="0">
                <a:solidFill>
                  <a:schemeClr val="tx1"/>
                </a:solidFill>
              </a:rPr>
              <a:t>Vendas/Restaurante (US$ MM)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0"/>
          <c:order val="0"/>
          <c:spPr>
            <a:solidFill>
              <a:srgbClr val="92D050"/>
            </a:solidFill>
          </c:spPr>
          <c:invertIfNegative val="0"/>
          <c:dPt>
            <c:idx val="0"/>
            <c:invertIfNegative val="0"/>
            <c:bubble3D val="0"/>
            <c:spPr>
              <a:solidFill>
                <a:srgbClr val="92D050"/>
              </a:solidFill>
              <a:ln>
                <a:noFill/>
              </a:ln>
              <a:effectLst/>
            </c:spPr>
          </c:dPt>
          <c:dPt>
            <c:idx val="1"/>
            <c:invertIfNegative val="0"/>
            <c:bubble3D val="0"/>
            <c:spPr>
              <a:solidFill>
                <a:srgbClr val="92D050"/>
              </a:solidFill>
              <a:ln>
                <a:noFill/>
              </a:ln>
              <a:effectLst/>
            </c:spPr>
          </c:dPt>
          <c:dPt>
            <c:idx val="2"/>
            <c:invertIfNegative val="0"/>
            <c:bubble3D val="0"/>
            <c:spPr>
              <a:solidFill>
                <a:srgbClr val="92D050"/>
              </a:solidFill>
              <a:ln>
                <a:noFill/>
              </a:ln>
              <a:effectLst/>
            </c:spPr>
          </c:dPt>
          <c:dPt>
            <c:idx val="3"/>
            <c:invertIfNegative val="0"/>
            <c:bubble3D val="0"/>
            <c:spPr>
              <a:solidFill>
                <a:srgbClr val="92D050"/>
              </a:solidFill>
              <a:ln>
                <a:noFill/>
              </a:ln>
              <a:effectLst/>
            </c:spPr>
          </c:dPt>
          <c:dPt>
            <c:idx val="4"/>
            <c:invertIfNegative val="0"/>
            <c:bubble3D val="0"/>
            <c:spPr>
              <a:solidFill>
                <a:srgbClr val="92D050"/>
              </a:solidFill>
              <a:ln>
                <a:noFill/>
              </a:ln>
              <a:effectLst/>
            </c:spPr>
          </c:dPt>
          <c:dPt>
            <c:idx val="5"/>
            <c:invertIfNegative val="0"/>
            <c:bubble3D val="0"/>
            <c:spPr>
              <a:solidFill>
                <a:srgbClr val="92D050"/>
              </a:solidFill>
              <a:ln>
                <a:noFill/>
              </a:ln>
              <a:effectLst/>
            </c:spPr>
          </c:dPt>
          <c:dPt>
            <c:idx val="6"/>
            <c:invertIfNegative val="0"/>
            <c:bubble3D val="0"/>
            <c:spPr>
              <a:solidFill>
                <a:srgbClr val="92D050"/>
              </a:solidFill>
              <a:ln>
                <a:noFill/>
              </a:ln>
              <a:effectLst/>
            </c:spPr>
          </c:dPt>
          <c:dPt>
            <c:idx val="7"/>
            <c:invertIfNegative val="0"/>
            <c:bubble3D val="0"/>
            <c:spPr>
              <a:solidFill>
                <a:srgbClr val="92D050"/>
              </a:solidFill>
              <a:ln>
                <a:noFill/>
              </a:ln>
              <a:effectLst/>
            </c:spPr>
          </c:dPt>
          <c:dPt>
            <c:idx val="8"/>
            <c:invertIfNegative val="0"/>
            <c:bubble3D val="0"/>
            <c:spPr>
              <a:solidFill>
                <a:srgbClr val="92D050"/>
              </a:solidFill>
              <a:ln>
                <a:noFill/>
              </a:ln>
              <a:effectLst/>
            </c:spPr>
          </c:dPt>
          <c:dPt>
            <c:idx val="9"/>
            <c:invertIfNegative val="0"/>
            <c:bubble3D val="0"/>
            <c:spPr>
              <a:solidFill>
                <a:srgbClr val="92D050"/>
              </a:solidFill>
              <a:ln>
                <a:noFill/>
              </a:ln>
              <a:effectLst/>
            </c:spPr>
          </c:dPt>
          <c:cat>
            <c:strRef>
              <c:f>'Pré processamento'!$B$2:$B$11</c:f>
              <c:strCache>
                <c:ptCount val="10"/>
                <c:pt idx="0">
                  <c:v>McDonald's</c:v>
                </c:pt>
                <c:pt idx="1">
                  <c:v>Starbucks</c:v>
                </c:pt>
                <c:pt idx="2">
                  <c:v>Chick-fil-A</c:v>
                </c:pt>
                <c:pt idx="3">
                  <c:v>Taco Bell</c:v>
                </c:pt>
                <c:pt idx="4">
                  <c:v>Burger King</c:v>
                </c:pt>
                <c:pt idx="5">
                  <c:v>Subway</c:v>
                </c:pt>
                <c:pt idx="6">
                  <c:v>Wendy's</c:v>
                </c:pt>
                <c:pt idx="7">
                  <c:v>Dunkin'</c:v>
                </c:pt>
                <c:pt idx="8">
                  <c:v>Domino's</c:v>
                </c:pt>
                <c:pt idx="9">
                  <c:v>Panera Bread</c:v>
                </c:pt>
              </c:strCache>
            </c:strRef>
          </c:cat>
          <c:val>
            <c:numRef>
              <c:f>'Pré processamento'!$C$2:$C$11</c:f>
              <c:numCache>
                <c:formatCode>_(* #,##0.00_);_(* \(#,##0.00\);_(* "-"??_);_(@_)</c:formatCode>
                <c:ptCount val="10"/>
                <c:pt idx="0">
                  <c:v>40412</c:v>
                </c:pt>
                <c:pt idx="1">
                  <c:v>21380</c:v>
                </c:pt>
                <c:pt idx="2">
                  <c:v>11320</c:v>
                </c:pt>
                <c:pt idx="3">
                  <c:v>11293</c:v>
                </c:pt>
                <c:pt idx="4">
                  <c:v>10204</c:v>
                </c:pt>
                <c:pt idx="5">
                  <c:v>10200</c:v>
                </c:pt>
                <c:pt idx="6">
                  <c:v>9762</c:v>
                </c:pt>
                <c:pt idx="7">
                  <c:v>9228</c:v>
                </c:pt>
                <c:pt idx="8">
                  <c:v>7044</c:v>
                </c:pt>
                <c:pt idx="9">
                  <c:v>5890</c:v>
                </c:pt>
              </c:numCache>
            </c:numRef>
          </c:val>
          <c:extLst>
            <c:ext xmlns:c16="http://schemas.microsoft.com/office/drawing/2014/chart" uri="{C3380CC4-5D6E-409C-BE32-E72D297353CC}">
              <c16:uniqueId val="{00000000-229A-4096-B017-C06B66B62918}"/>
            </c:ext>
          </c:extLst>
        </c:ser>
        <c:dLbls>
          <c:showLegendKey val="0"/>
          <c:showVal val="0"/>
          <c:showCatName val="0"/>
          <c:showSerName val="0"/>
          <c:showPercent val="0"/>
          <c:showBubbleSize val="0"/>
        </c:dLbls>
        <c:gapWidth val="219"/>
        <c:overlap val="24"/>
        <c:axId val="358503584"/>
        <c:axId val="358494848"/>
      </c:barChart>
      <c:catAx>
        <c:axId val="358503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8494848"/>
        <c:crosses val="autoZero"/>
        <c:auto val="1"/>
        <c:lblAlgn val="ctr"/>
        <c:lblOffset val="100"/>
        <c:noMultiLvlLbl val="0"/>
      </c:catAx>
      <c:valAx>
        <c:axId val="358494848"/>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85035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Dashboard!$C$273</c:f>
              <c:strCache>
                <c:ptCount val="1"/>
                <c:pt idx="0">
                  <c:v>Unidades</c:v>
                </c:pt>
              </c:strCache>
            </c:strRef>
          </c:tx>
          <c:spPr>
            <a:ln w="19050" cap="rnd">
              <a:noFill/>
              <a:round/>
            </a:ln>
            <a:effectLst/>
          </c:spPr>
          <c:marker>
            <c:symbol val="circle"/>
            <c:size val="5"/>
            <c:spPr>
              <a:solidFill>
                <a:schemeClr val="accent1"/>
              </a:solidFill>
              <a:ln w="9525">
                <a:solidFill>
                  <a:schemeClr val="accent1"/>
                </a:solidFill>
              </a:ln>
              <a:effectLst/>
            </c:spPr>
          </c:marker>
          <c:xVal>
            <c:numRef>
              <c:f>Dashboard!$B$274:$B$523</c:f>
              <c:numCache>
                <c:formatCode>General</c:formatCode>
                <c:ptCount val="250"/>
                <c:pt idx="0">
                  <c:v>131</c:v>
                </c:pt>
                <c:pt idx="1">
                  <c:v>227</c:v>
                </c:pt>
                <c:pt idx="2">
                  <c:v>153</c:v>
                </c:pt>
                <c:pt idx="3">
                  <c:v>4085</c:v>
                </c:pt>
                <c:pt idx="4">
                  <c:v>3884</c:v>
                </c:pt>
                <c:pt idx="5">
                  <c:v>289</c:v>
                </c:pt>
                <c:pt idx="6">
                  <c:v>559</c:v>
                </c:pt>
                <c:pt idx="7">
                  <c:v>252</c:v>
                </c:pt>
                <c:pt idx="8">
                  <c:v>284</c:v>
                </c:pt>
                <c:pt idx="9">
                  <c:v>615</c:v>
                </c:pt>
                <c:pt idx="10">
                  <c:v>171</c:v>
                </c:pt>
                <c:pt idx="11">
                  <c:v>340</c:v>
                </c:pt>
                <c:pt idx="12">
                  <c:v>338</c:v>
                </c:pt>
                <c:pt idx="13">
                  <c:v>129</c:v>
                </c:pt>
                <c:pt idx="14">
                  <c:v>170</c:v>
                </c:pt>
                <c:pt idx="15">
                  <c:v>1161</c:v>
                </c:pt>
                <c:pt idx="16">
                  <c:v>168</c:v>
                </c:pt>
                <c:pt idx="17">
                  <c:v>336</c:v>
                </c:pt>
                <c:pt idx="18">
                  <c:v>366</c:v>
                </c:pt>
                <c:pt idx="19">
                  <c:v>795</c:v>
                </c:pt>
                <c:pt idx="20">
                  <c:v>1331</c:v>
                </c:pt>
                <c:pt idx="21">
                  <c:v>587</c:v>
                </c:pt>
                <c:pt idx="22">
                  <c:v>501</c:v>
                </c:pt>
                <c:pt idx="23">
                  <c:v>268</c:v>
                </c:pt>
                <c:pt idx="24">
                  <c:v>217</c:v>
                </c:pt>
                <c:pt idx="25">
                  <c:v>148</c:v>
                </c:pt>
                <c:pt idx="26">
                  <c:v>181</c:v>
                </c:pt>
                <c:pt idx="27">
                  <c:v>189</c:v>
                </c:pt>
                <c:pt idx="28">
                  <c:v>3669</c:v>
                </c:pt>
                <c:pt idx="29">
                  <c:v>10204</c:v>
                </c:pt>
                <c:pt idx="30">
                  <c:v>138</c:v>
                </c:pt>
                <c:pt idx="31">
                  <c:v>267</c:v>
                </c:pt>
                <c:pt idx="32">
                  <c:v>621</c:v>
                </c:pt>
                <c:pt idx="33">
                  <c:v>561</c:v>
                </c:pt>
                <c:pt idx="34">
                  <c:v>306</c:v>
                </c:pt>
                <c:pt idx="35">
                  <c:v>1423</c:v>
                </c:pt>
                <c:pt idx="36">
                  <c:v>653</c:v>
                </c:pt>
                <c:pt idx="37">
                  <c:v>435</c:v>
                </c:pt>
                <c:pt idx="38">
                  <c:v>535</c:v>
                </c:pt>
                <c:pt idx="39">
                  <c:v>724</c:v>
                </c:pt>
                <c:pt idx="40">
                  <c:v>153</c:v>
                </c:pt>
                <c:pt idx="41">
                  <c:v>11320</c:v>
                </c:pt>
                <c:pt idx="42">
                  <c:v>3563</c:v>
                </c:pt>
                <c:pt idx="43">
                  <c:v>5509</c:v>
                </c:pt>
                <c:pt idx="44">
                  <c:v>381</c:v>
                </c:pt>
                <c:pt idx="45">
                  <c:v>716</c:v>
                </c:pt>
                <c:pt idx="46">
                  <c:v>426</c:v>
                </c:pt>
                <c:pt idx="47">
                  <c:v>410</c:v>
                </c:pt>
                <c:pt idx="48">
                  <c:v>201</c:v>
                </c:pt>
                <c:pt idx="49">
                  <c:v>177</c:v>
                </c:pt>
                <c:pt idx="50">
                  <c:v>369</c:v>
                </c:pt>
                <c:pt idx="51">
                  <c:v>126</c:v>
                </c:pt>
                <c:pt idx="52">
                  <c:v>338</c:v>
                </c:pt>
                <c:pt idx="53">
                  <c:v>348</c:v>
                </c:pt>
                <c:pt idx="54">
                  <c:v>129</c:v>
                </c:pt>
                <c:pt idx="55">
                  <c:v>2482</c:v>
                </c:pt>
                <c:pt idx="56">
                  <c:v>1795</c:v>
                </c:pt>
                <c:pt idx="57">
                  <c:v>3760</c:v>
                </c:pt>
                <c:pt idx="58">
                  <c:v>571</c:v>
                </c:pt>
                <c:pt idx="59">
                  <c:v>132</c:v>
                </c:pt>
                <c:pt idx="60">
                  <c:v>205</c:v>
                </c:pt>
                <c:pt idx="61">
                  <c:v>850</c:v>
                </c:pt>
                <c:pt idx="62">
                  <c:v>2691</c:v>
                </c:pt>
                <c:pt idx="63">
                  <c:v>349</c:v>
                </c:pt>
                <c:pt idx="64">
                  <c:v>7044</c:v>
                </c:pt>
                <c:pt idx="65">
                  <c:v>179</c:v>
                </c:pt>
                <c:pt idx="66">
                  <c:v>144</c:v>
                </c:pt>
                <c:pt idx="67">
                  <c:v>9228</c:v>
                </c:pt>
                <c:pt idx="68">
                  <c:v>567</c:v>
                </c:pt>
                <c:pt idx="69">
                  <c:v>152</c:v>
                </c:pt>
                <c:pt idx="70">
                  <c:v>144</c:v>
                </c:pt>
                <c:pt idx="71">
                  <c:v>517</c:v>
                </c:pt>
                <c:pt idx="72">
                  <c:v>894</c:v>
                </c:pt>
                <c:pt idx="73">
                  <c:v>329</c:v>
                </c:pt>
                <c:pt idx="74">
                  <c:v>179</c:v>
                </c:pt>
                <c:pt idx="75">
                  <c:v>238</c:v>
                </c:pt>
                <c:pt idx="76">
                  <c:v>192</c:v>
                </c:pt>
                <c:pt idx="77">
                  <c:v>832</c:v>
                </c:pt>
                <c:pt idx="78">
                  <c:v>558</c:v>
                </c:pt>
                <c:pt idx="79">
                  <c:v>1661</c:v>
                </c:pt>
                <c:pt idx="80">
                  <c:v>307</c:v>
                </c:pt>
                <c:pt idx="81">
                  <c:v>326</c:v>
                </c:pt>
                <c:pt idx="82">
                  <c:v>535</c:v>
                </c:pt>
                <c:pt idx="83">
                  <c:v>210</c:v>
                </c:pt>
                <c:pt idx="84">
                  <c:v>185</c:v>
                </c:pt>
                <c:pt idx="85">
                  <c:v>225</c:v>
                </c:pt>
                <c:pt idx="86">
                  <c:v>173</c:v>
                </c:pt>
                <c:pt idx="87">
                  <c:v>250</c:v>
                </c:pt>
                <c:pt idx="88">
                  <c:v>183</c:v>
                </c:pt>
                <c:pt idx="89">
                  <c:v>1746</c:v>
                </c:pt>
                <c:pt idx="90">
                  <c:v>157</c:v>
                </c:pt>
                <c:pt idx="91">
                  <c:v>142</c:v>
                </c:pt>
                <c:pt idx="92">
                  <c:v>162</c:v>
                </c:pt>
                <c:pt idx="93">
                  <c:v>129</c:v>
                </c:pt>
                <c:pt idx="94">
                  <c:v>187</c:v>
                </c:pt>
                <c:pt idx="95">
                  <c:v>2020</c:v>
                </c:pt>
                <c:pt idx="96">
                  <c:v>858</c:v>
                </c:pt>
                <c:pt idx="97">
                  <c:v>143</c:v>
                </c:pt>
                <c:pt idx="98">
                  <c:v>247</c:v>
                </c:pt>
                <c:pt idx="99">
                  <c:v>439</c:v>
                </c:pt>
                <c:pt idx="100">
                  <c:v>151</c:v>
                </c:pt>
                <c:pt idx="101">
                  <c:v>3266</c:v>
                </c:pt>
                <c:pt idx="102">
                  <c:v>957</c:v>
                </c:pt>
                <c:pt idx="103">
                  <c:v>173</c:v>
                </c:pt>
                <c:pt idx="104">
                  <c:v>195</c:v>
                </c:pt>
                <c:pt idx="105">
                  <c:v>3504</c:v>
                </c:pt>
                <c:pt idx="106">
                  <c:v>290</c:v>
                </c:pt>
                <c:pt idx="107">
                  <c:v>514</c:v>
                </c:pt>
                <c:pt idx="108">
                  <c:v>647</c:v>
                </c:pt>
                <c:pt idx="109">
                  <c:v>1340</c:v>
                </c:pt>
                <c:pt idx="110">
                  <c:v>331</c:v>
                </c:pt>
                <c:pt idx="111">
                  <c:v>2105</c:v>
                </c:pt>
                <c:pt idx="112">
                  <c:v>166</c:v>
                </c:pt>
                <c:pt idx="113">
                  <c:v>186</c:v>
                </c:pt>
                <c:pt idx="114">
                  <c:v>126</c:v>
                </c:pt>
                <c:pt idx="115">
                  <c:v>4546</c:v>
                </c:pt>
                <c:pt idx="116">
                  <c:v>887</c:v>
                </c:pt>
                <c:pt idx="117">
                  <c:v>343</c:v>
                </c:pt>
                <c:pt idx="118">
                  <c:v>129</c:v>
                </c:pt>
                <c:pt idx="119">
                  <c:v>174</c:v>
                </c:pt>
                <c:pt idx="120">
                  <c:v>164</c:v>
                </c:pt>
                <c:pt idx="121">
                  <c:v>213</c:v>
                </c:pt>
                <c:pt idx="122">
                  <c:v>192</c:v>
                </c:pt>
                <c:pt idx="123">
                  <c:v>161</c:v>
                </c:pt>
                <c:pt idx="124">
                  <c:v>227</c:v>
                </c:pt>
                <c:pt idx="125">
                  <c:v>3811</c:v>
                </c:pt>
                <c:pt idx="126">
                  <c:v>496</c:v>
                </c:pt>
                <c:pt idx="127">
                  <c:v>404</c:v>
                </c:pt>
                <c:pt idx="128">
                  <c:v>1867</c:v>
                </c:pt>
                <c:pt idx="129">
                  <c:v>195</c:v>
                </c:pt>
                <c:pt idx="130">
                  <c:v>127</c:v>
                </c:pt>
                <c:pt idx="131">
                  <c:v>417</c:v>
                </c:pt>
                <c:pt idx="132">
                  <c:v>628</c:v>
                </c:pt>
                <c:pt idx="133">
                  <c:v>242</c:v>
                </c:pt>
                <c:pt idx="134">
                  <c:v>725</c:v>
                </c:pt>
                <c:pt idx="135">
                  <c:v>157</c:v>
                </c:pt>
                <c:pt idx="136">
                  <c:v>40412</c:v>
                </c:pt>
                <c:pt idx="137">
                  <c:v>461</c:v>
                </c:pt>
                <c:pt idx="138">
                  <c:v>149</c:v>
                </c:pt>
                <c:pt idx="139">
                  <c:v>171</c:v>
                </c:pt>
                <c:pt idx="140">
                  <c:v>446</c:v>
                </c:pt>
                <c:pt idx="141">
                  <c:v>172</c:v>
                </c:pt>
                <c:pt idx="142">
                  <c:v>136</c:v>
                </c:pt>
                <c:pt idx="143">
                  <c:v>483</c:v>
                </c:pt>
                <c:pt idx="144">
                  <c:v>749</c:v>
                </c:pt>
                <c:pt idx="145">
                  <c:v>266</c:v>
                </c:pt>
                <c:pt idx="146">
                  <c:v>181</c:v>
                </c:pt>
                <c:pt idx="147">
                  <c:v>227</c:v>
                </c:pt>
                <c:pt idx="148">
                  <c:v>324</c:v>
                </c:pt>
                <c:pt idx="149">
                  <c:v>139</c:v>
                </c:pt>
                <c:pt idx="150">
                  <c:v>533</c:v>
                </c:pt>
                <c:pt idx="151">
                  <c:v>144</c:v>
                </c:pt>
                <c:pt idx="152">
                  <c:v>426</c:v>
                </c:pt>
                <c:pt idx="153">
                  <c:v>275</c:v>
                </c:pt>
                <c:pt idx="154">
                  <c:v>142</c:v>
                </c:pt>
                <c:pt idx="155">
                  <c:v>4287</c:v>
                </c:pt>
                <c:pt idx="156">
                  <c:v>327</c:v>
                </c:pt>
                <c:pt idx="157">
                  <c:v>2635</c:v>
                </c:pt>
                <c:pt idx="158">
                  <c:v>917</c:v>
                </c:pt>
                <c:pt idx="159">
                  <c:v>3946</c:v>
                </c:pt>
                <c:pt idx="160">
                  <c:v>5890</c:v>
                </c:pt>
                <c:pt idx="161">
                  <c:v>2638</c:v>
                </c:pt>
                <c:pt idx="162">
                  <c:v>748</c:v>
                </c:pt>
                <c:pt idx="163">
                  <c:v>269</c:v>
                </c:pt>
                <c:pt idx="164">
                  <c:v>143</c:v>
                </c:pt>
                <c:pt idx="165">
                  <c:v>152</c:v>
                </c:pt>
                <c:pt idx="166">
                  <c:v>127</c:v>
                </c:pt>
                <c:pt idx="167">
                  <c:v>357</c:v>
                </c:pt>
                <c:pt idx="168">
                  <c:v>268</c:v>
                </c:pt>
                <c:pt idx="169">
                  <c:v>201</c:v>
                </c:pt>
                <c:pt idx="170">
                  <c:v>541</c:v>
                </c:pt>
                <c:pt idx="171">
                  <c:v>5558</c:v>
                </c:pt>
                <c:pt idx="172">
                  <c:v>269</c:v>
                </c:pt>
                <c:pt idx="173">
                  <c:v>143</c:v>
                </c:pt>
                <c:pt idx="174">
                  <c:v>425</c:v>
                </c:pt>
                <c:pt idx="175">
                  <c:v>3812</c:v>
                </c:pt>
                <c:pt idx="176">
                  <c:v>505</c:v>
                </c:pt>
                <c:pt idx="177">
                  <c:v>446</c:v>
                </c:pt>
                <c:pt idx="178">
                  <c:v>252</c:v>
                </c:pt>
                <c:pt idx="179">
                  <c:v>901</c:v>
                </c:pt>
                <c:pt idx="180">
                  <c:v>129</c:v>
                </c:pt>
                <c:pt idx="181">
                  <c:v>1466</c:v>
                </c:pt>
                <c:pt idx="182">
                  <c:v>275</c:v>
                </c:pt>
                <c:pt idx="183">
                  <c:v>2490</c:v>
                </c:pt>
                <c:pt idx="184">
                  <c:v>1548</c:v>
                </c:pt>
                <c:pt idx="185">
                  <c:v>218</c:v>
                </c:pt>
                <c:pt idx="186">
                  <c:v>163</c:v>
                </c:pt>
                <c:pt idx="187">
                  <c:v>450</c:v>
                </c:pt>
                <c:pt idx="188">
                  <c:v>232</c:v>
                </c:pt>
                <c:pt idx="189">
                  <c:v>731</c:v>
                </c:pt>
                <c:pt idx="190">
                  <c:v>703</c:v>
                </c:pt>
                <c:pt idx="191">
                  <c:v>402</c:v>
                </c:pt>
                <c:pt idx="192">
                  <c:v>281</c:v>
                </c:pt>
                <c:pt idx="193">
                  <c:v>218</c:v>
                </c:pt>
                <c:pt idx="194">
                  <c:v>335</c:v>
                </c:pt>
                <c:pt idx="195">
                  <c:v>253</c:v>
                </c:pt>
                <c:pt idx="196">
                  <c:v>622</c:v>
                </c:pt>
                <c:pt idx="197">
                  <c:v>161</c:v>
                </c:pt>
                <c:pt idx="198">
                  <c:v>179</c:v>
                </c:pt>
                <c:pt idx="199">
                  <c:v>259</c:v>
                </c:pt>
                <c:pt idx="200">
                  <c:v>265</c:v>
                </c:pt>
                <c:pt idx="201">
                  <c:v>168</c:v>
                </c:pt>
                <c:pt idx="202">
                  <c:v>462</c:v>
                </c:pt>
                <c:pt idx="203">
                  <c:v>4687</c:v>
                </c:pt>
                <c:pt idx="204">
                  <c:v>191</c:v>
                </c:pt>
                <c:pt idx="205">
                  <c:v>211</c:v>
                </c:pt>
                <c:pt idx="206">
                  <c:v>21380</c:v>
                </c:pt>
                <c:pt idx="207">
                  <c:v>950</c:v>
                </c:pt>
                <c:pt idx="208">
                  <c:v>10200</c:v>
                </c:pt>
                <c:pt idx="209">
                  <c:v>184</c:v>
                </c:pt>
                <c:pt idx="210">
                  <c:v>11293</c:v>
                </c:pt>
                <c:pt idx="211">
                  <c:v>178</c:v>
                </c:pt>
                <c:pt idx="212">
                  <c:v>311</c:v>
                </c:pt>
                <c:pt idx="213">
                  <c:v>373</c:v>
                </c:pt>
                <c:pt idx="214">
                  <c:v>149</c:v>
                </c:pt>
                <c:pt idx="215">
                  <c:v>370</c:v>
                </c:pt>
                <c:pt idx="216">
                  <c:v>3016</c:v>
                </c:pt>
                <c:pt idx="217">
                  <c:v>1085</c:v>
                </c:pt>
                <c:pt idx="218">
                  <c:v>461</c:v>
                </c:pt>
                <c:pt idx="219">
                  <c:v>2180</c:v>
                </c:pt>
                <c:pt idx="220">
                  <c:v>133</c:v>
                </c:pt>
                <c:pt idx="221">
                  <c:v>500</c:v>
                </c:pt>
                <c:pt idx="222">
                  <c:v>181</c:v>
                </c:pt>
                <c:pt idx="223">
                  <c:v>150</c:v>
                </c:pt>
                <c:pt idx="224">
                  <c:v>185</c:v>
                </c:pt>
                <c:pt idx="225">
                  <c:v>147</c:v>
                </c:pt>
                <c:pt idx="226">
                  <c:v>714</c:v>
                </c:pt>
                <c:pt idx="227">
                  <c:v>144</c:v>
                </c:pt>
                <c:pt idx="228">
                  <c:v>272</c:v>
                </c:pt>
                <c:pt idx="229">
                  <c:v>576</c:v>
                </c:pt>
                <c:pt idx="230">
                  <c:v>190</c:v>
                </c:pt>
                <c:pt idx="231">
                  <c:v>335</c:v>
                </c:pt>
                <c:pt idx="232">
                  <c:v>239</c:v>
                </c:pt>
                <c:pt idx="233">
                  <c:v>196</c:v>
                </c:pt>
                <c:pt idx="234">
                  <c:v>313</c:v>
                </c:pt>
                <c:pt idx="235">
                  <c:v>132</c:v>
                </c:pt>
                <c:pt idx="236">
                  <c:v>1344</c:v>
                </c:pt>
                <c:pt idx="237">
                  <c:v>133</c:v>
                </c:pt>
                <c:pt idx="238">
                  <c:v>159</c:v>
                </c:pt>
                <c:pt idx="239">
                  <c:v>9762</c:v>
                </c:pt>
                <c:pt idx="240">
                  <c:v>177</c:v>
                </c:pt>
                <c:pt idx="241">
                  <c:v>2556</c:v>
                </c:pt>
                <c:pt idx="242">
                  <c:v>193</c:v>
                </c:pt>
                <c:pt idx="243">
                  <c:v>579</c:v>
                </c:pt>
                <c:pt idx="244">
                  <c:v>265</c:v>
                </c:pt>
                <c:pt idx="245">
                  <c:v>1363</c:v>
                </c:pt>
                <c:pt idx="246">
                  <c:v>609</c:v>
                </c:pt>
                <c:pt idx="247">
                  <c:v>132</c:v>
                </c:pt>
                <c:pt idx="248">
                  <c:v>1886</c:v>
                </c:pt>
                <c:pt idx="249">
                  <c:v>348</c:v>
                </c:pt>
              </c:numCache>
            </c:numRef>
          </c:xVal>
          <c:yVal>
            <c:numRef>
              <c:f>Dashboard!$C$274:$C$523</c:f>
              <c:numCache>
                <c:formatCode>General</c:formatCode>
                <c:ptCount val="250"/>
                <c:pt idx="0">
                  <c:v>31</c:v>
                </c:pt>
                <c:pt idx="1">
                  <c:v>575</c:v>
                </c:pt>
                <c:pt idx="2">
                  <c:v>68</c:v>
                </c:pt>
                <c:pt idx="3">
                  <c:v>1665</c:v>
                </c:pt>
                <c:pt idx="4">
                  <c:v>3359</c:v>
                </c:pt>
                <c:pt idx="5">
                  <c:v>170</c:v>
                </c:pt>
                <c:pt idx="6">
                  <c:v>1288</c:v>
                </c:pt>
                <c:pt idx="7">
                  <c:v>43</c:v>
                </c:pt>
                <c:pt idx="8">
                  <c:v>128</c:v>
                </c:pt>
                <c:pt idx="9">
                  <c:v>2524</c:v>
                </c:pt>
                <c:pt idx="10">
                  <c:v>153</c:v>
                </c:pt>
                <c:pt idx="11">
                  <c:v>71</c:v>
                </c:pt>
                <c:pt idx="12">
                  <c:v>194</c:v>
                </c:pt>
                <c:pt idx="13">
                  <c:v>240</c:v>
                </c:pt>
                <c:pt idx="14">
                  <c:v>75</c:v>
                </c:pt>
                <c:pt idx="15">
                  <c:v>208</c:v>
                </c:pt>
                <c:pt idx="16">
                  <c:v>42</c:v>
                </c:pt>
                <c:pt idx="17">
                  <c:v>138</c:v>
                </c:pt>
                <c:pt idx="18">
                  <c:v>313</c:v>
                </c:pt>
                <c:pt idx="19">
                  <c:v>483</c:v>
                </c:pt>
                <c:pt idx="20">
                  <c:v>746</c:v>
                </c:pt>
                <c:pt idx="21">
                  <c:v>197</c:v>
                </c:pt>
                <c:pt idx="22">
                  <c:v>390</c:v>
                </c:pt>
                <c:pt idx="23">
                  <c:v>281</c:v>
                </c:pt>
                <c:pt idx="24">
                  <c:v>57</c:v>
                </c:pt>
                <c:pt idx="25">
                  <c:v>210</c:v>
                </c:pt>
                <c:pt idx="26">
                  <c:v>27</c:v>
                </c:pt>
                <c:pt idx="27">
                  <c:v>76</c:v>
                </c:pt>
                <c:pt idx="28">
                  <c:v>1206</c:v>
                </c:pt>
                <c:pt idx="29">
                  <c:v>7346</c:v>
                </c:pt>
                <c:pt idx="30">
                  <c:v>112</c:v>
                </c:pt>
                <c:pt idx="31">
                  <c:v>126</c:v>
                </c:pt>
                <c:pt idx="32">
                  <c:v>199</c:v>
                </c:pt>
                <c:pt idx="33">
                  <c:v>540</c:v>
                </c:pt>
                <c:pt idx="34">
                  <c:v>464</c:v>
                </c:pt>
                <c:pt idx="35">
                  <c:v>1095</c:v>
                </c:pt>
                <c:pt idx="36">
                  <c:v>225</c:v>
                </c:pt>
                <c:pt idx="37">
                  <c:v>540</c:v>
                </c:pt>
                <c:pt idx="38">
                  <c:v>584</c:v>
                </c:pt>
                <c:pt idx="39">
                  <c:v>175</c:v>
                </c:pt>
                <c:pt idx="40">
                  <c:v>144</c:v>
                </c:pt>
                <c:pt idx="41">
                  <c:v>2470</c:v>
                </c:pt>
                <c:pt idx="42">
                  <c:v>1242</c:v>
                </c:pt>
                <c:pt idx="43">
                  <c:v>2584</c:v>
                </c:pt>
                <c:pt idx="44">
                  <c:v>537</c:v>
                </c:pt>
                <c:pt idx="45">
                  <c:v>1032</c:v>
                </c:pt>
                <c:pt idx="46">
                  <c:v>100</c:v>
                </c:pt>
                <c:pt idx="47">
                  <c:v>420</c:v>
                </c:pt>
                <c:pt idx="48">
                  <c:v>956</c:v>
                </c:pt>
                <c:pt idx="49">
                  <c:v>35</c:v>
                </c:pt>
                <c:pt idx="50">
                  <c:v>895</c:v>
                </c:pt>
                <c:pt idx="51">
                  <c:v>270</c:v>
                </c:pt>
                <c:pt idx="52">
                  <c:v>41</c:v>
                </c:pt>
                <c:pt idx="53">
                  <c:v>175</c:v>
                </c:pt>
                <c:pt idx="54">
                  <c:v>93</c:v>
                </c:pt>
                <c:pt idx="55">
                  <c:v>660</c:v>
                </c:pt>
                <c:pt idx="56">
                  <c:v>732</c:v>
                </c:pt>
                <c:pt idx="57">
                  <c:v>4381</c:v>
                </c:pt>
                <c:pt idx="58">
                  <c:v>132</c:v>
                </c:pt>
                <c:pt idx="59">
                  <c:v>415</c:v>
                </c:pt>
                <c:pt idx="60">
                  <c:v>16</c:v>
                </c:pt>
                <c:pt idx="61">
                  <c:v>596</c:v>
                </c:pt>
                <c:pt idx="62">
                  <c:v>1558</c:v>
                </c:pt>
                <c:pt idx="63">
                  <c:v>497</c:v>
                </c:pt>
                <c:pt idx="64">
                  <c:v>6126</c:v>
                </c:pt>
                <c:pt idx="65">
                  <c:v>165</c:v>
                </c:pt>
                <c:pt idx="66">
                  <c:v>34</c:v>
                </c:pt>
                <c:pt idx="67">
                  <c:v>9630</c:v>
                </c:pt>
                <c:pt idx="68">
                  <c:v>369</c:v>
                </c:pt>
                <c:pt idx="69">
                  <c:v>63</c:v>
                </c:pt>
                <c:pt idx="70">
                  <c:v>21</c:v>
                </c:pt>
                <c:pt idx="71">
                  <c:v>710</c:v>
                </c:pt>
                <c:pt idx="72">
                  <c:v>482</c:v>
                </c:pt>
                <c:pt idx="73">
                  <c:v>128</c:v>
                </c:pt>
                <c:pt idx="74">
                  <c:v>93</c:v>
                </c:pt>
                <c:pt idx="75">
                  <c:v>215</c:v>
                </c:pt>
                <c:pt idx="76">
                  <c:v>51</c:v>
                </c:pt>
                <c:pt idx="77">
                  <c:v>1155</c:v>
                </c:pt>
                <c:pt idx="78">
                  <c:v>368</c:v>
                </c:pt>
                <c:pt idx="79">
                  <c:v>1368</c:v>
                </c:pt>
                <c:pt idx="80">
                  <c:v>68</c:v>
                </c:pt>
                <c:pt idx="81">
                  <c:v>43</c:v>
                </c:pt>
                <c:pt idx="82">
                  <c:v>368</c:v>
                </c:pt>
                <c:pt idx="83">
                  <c:v>160</c:v>
                </c:pt>
                <c:pt idx="84">
                  <c:v>138</c:v>
                </c:pt>
                <c:pt idx="85">
                  <c:v>152</c:v>
                </c:pt>
                <c:pt idx="86">
                  <c:v>70</c:v>
                </c:pt>
                <c:pt idx="87">
                  <c:v>569</c:v>
                </c:pt>
                <c:pt idx="88">
                  <c:v>184</c:v>
                </c:pt>
                <c:pt idx="89">
                  <c:v>483</c:v>
                </c:pt>
                <c:pt idx="90">
                  <c:v>13</c:v>
                </c:pt>
                <c:pt idx="91">
                  <c:v>368</c:v>
                </c:pt>
                <c:pt idx="92">
                  <c:v>182</c:v>
                </c:pt>
                <c:pt idx="93">
                  <c:v>52</c:v>
                </c:pt>
                <c:pt idx="94">
                  <c:v>40</c:v>
                </c:pt>
                <c:pt idx="95">
                  <c:v>1820</c:v>
                </c:pt>
                <c:pt idx="96">
                  <c:v>341</c:v>
                </c:pt>
                <c:pt idx="97">
                  <c:v>45</c:v>
                </c:pt>
                <c:pt idx="98">
                  <c:v>342</c:v>
                </c:pt>
                <c:pt idx="99">
                  <c:v>537</c:v>
                </c:pt>
                <c:pt idx="100">
                  <c:v>56</c:v>
                </c:pt>
                <c:pt idx="101">
                  <c:v>1710</c:v>
                </c:pt>
                <c:pt idx="102">
                  <c:v>351</c:v>
                </c:pt>
                <c:pt idx="103">
                  <c:v>56</c:v>
                </c:pt>
                <c:pt idx="104">
                  <c:v>34</c:v>
                </c:pt>
                <c:pt idx="105">
                  <c:v>2243</c:v>
                </c:pt>
                <c:pt idx="106">
                  <c:v>176</c:v>
                </c:pt>
                <c:pt idx="107">
                  <c:v>767</c:v>
                </c:pt>
                <c:pt idx="108">
                  <c:v>283</c:v>
                </c:pt>
                <c:pt idx="109">
                  <c:v>1667</c:v>
                </c:pt>
                <c:pt idx="110">
                  <c:v>383</c:v>
                </c:pt>
                <c:pt idx="111">
                  <c:v>2787</c:v>
                </c:pt>
                <c:pt idx="112">
                  <c:v>53</c:v>
                </c:pt>
                <c:pt idx="113">
                  <c:v>155</c:v>
                </c:pt>
                <c:pt idx="114">
                  <c:v>40</c:v>
                </c:pt>
                <c:pt idx="115">
                  <c:v>4065</c:v>
                </c:pt>
                <c:pt idx="116">
                  <c:v>364</c:v>
                </c:pt>
                <c:pt idx="117">
                  <c:v>318</c:v>
                </c:pt>
                <c:pt idx="118">
                  <c:v>195</c:v>
                </c:pt>
                <c:pt idx="119">
                  <c:v>87</c:v>
                </c:pt>
                <c:pt idx="120">
                  <c:v>66</c:v>
                </c:pt>
                <c:pt idx="121">
                  <c:v>36</c:v>
                </c:pt>
                <c:pt idx="122">
                  <c:v>94</c:v>
                </c:pt>
                <c:pt idx="123">
                  <c:v>129</c:v>
                </c:pt>
                <c:pt idx="124">
                  <c:v>34</c:v>
                </c:pt>
                <c:pt idx="125">
                  <c:v>4237</c:v>
                </c:pt>
                <c:pt idx="126">
                  <c:v>204</c:v>
                </c:pt>
                <c:pt idx="127">
                  <c:v>850</c:v>
                </c:pt>
                <c:pt idx="128">
                  <c:v>530</c:v>
                </c:pt>
                <c:pt idx="129">
                  <c:v>79</c:v>
                </c:pt>
                <c:pt idx="130">
                  <c:v>25</c:v>
                </c:pt>
                <c:pt idx="131">
                  <c:v>53</c:v>
                </c:pt>
                <c:pt idx="132">
                  <c:v>915</c:v>
                </c:pt>
                <c:pt idx="133">
                  <c:v>18</c:v>
                </c:pt>
                <c:pt idx="134">
                  <c:v>460</c:v>
                </c:pt>
                <c:pt idx="135">
                  <c:v>35</c:v>
                </c:pt>
                <c:pt idx="136">
                  <c:v>13846</c:v>
                </c:pt>
                <c:pt idx="137">
                  <c:v>187</c:v>
                </c:pt>
                <c:pt idx="138">
                  <c:v>416</c:v>
                </c:pt>
                <c:pt idx="139">
                  <c:v>69</c:v>
                </c:pt>
                <c:pt idx="140">
                  <c:v>98</c:v>
                </c:pt>
                <c:pt idx="141">
                  <c:v>77</c:v>
                </c:pt>
                <c:pt idx="142">
                  <c:v>90</c:v>
                </c:pt>
                <c:pt idx="143">
                  <c:v>467</c:v>
                </c:pt>
                <c:pt idx="144">
                  <c:v>730</c:v>
                </c:pt>
                <c:pt idx="145">
                  <c:v>63</c:v>
                </c:pt>
                <c:pt idx="146">
                  <c:v>215</c:v>
                </c:pt>
                <c:pt idx="147">
                  <c:v>121</c:v>
                </c:pt>
                <c:pt idx="148">
                  <c:v>108</c:v>
                </c:pt>
                <c:pt idx="149">
                  <c:v>17</c:v>
                </c:pt>
                <c:pt idx="150">
                  <c:v>457</c:v>
                </c:pt>
                <c:pt idx="151">
                  <c:v>16</c:v>
                </c:pt>
                <c:pt idx="152">
                  <c:v>196</c:v>
                </c:pt>
                <c:pt idx="153">
                  <c:v>109</c:v>
                </c:pt>
                <c:pt idx="154">
                  <c:v>49</c:v>
                </c:pt>
                <c:pt idx="155">
                  <c:v>866</c:v>
                </c:pt>
                <c:pt idx="156">
                  <c:v>136</c:v>
                </c:pt>
                <c:pt idx="157">
                  <c:v>724</c:v>
                </c:pt>
                <c:pt idx="158">
                  <c:v>221</c:v>
                </c:pt>
                <c:pt idx="159">
                  <c:v>2209</c:v>
                </c:pt>
                <c:pt idx="160">
                  <c:v>2160</c:v>
                </c:pt>
                <c:pt idx="161">
                  <c:v>3142</c:v>
                </c:pt>
                <c:pt idx="162">
                  <c:v>1329</c:v>
                </c:pt>
                <c:pt idx="163">
                  <c:v>40</c:v>
                </c:pt>
                <c:pt idx="164">
                  <c:v>25</c:v>
                </c:pt>
                <c:pt idx="165">
                  <c:v>81</c:v>
                </c:pt>
                <c:pt idx="166">
                  <c:v>56</c:v>
                </c:pt>
                <c:pt idx="167">
                  <c:v>423</c:v>
                </c:pt>
                <c:pt idx="168">
                  <c:v>150</c:v>
                </c:pt>
                <c:pt idx="169">
                  <c:v>306</c:v>
                </c:pt>
                <c:pt idx="170">
                  <c:v>309</c:v>
                </c:pt>
                <c:pt idx="171">
                  <c:v>7306</c:v>
                </c:pt>
                <c:pt idx="172">
                  <c:v>212</c:v>
                </c:pt>
                <c:pt idx="173">
                  <c:v>78</c:v>
                </c:pt>
                <c:pt idx="174">
                  <c:v>174</c:v>
                </c:pt>
                <c:pt idx="175">
                  <c:v>2476</c:v>
                </c:pt>
                <c:pt idx="176">
                  <c:v>62</c:v>
                </c:pt>
                <c:pt idx="177">
                  <c:v>471</c:v>
                </c:pt>
                <c:pt idx="178">
                  <c:v>95</c:v>
                </c:pt>
                <c:pt idx="179">
                  <c:v>730</c:v>
                </c:pt>
                <c:pt idx="180">
                  <c:v>18</c:v>
                </c:pt>
                <c:pt idx="181">
                  <c:v>457</c:v>
                </c:pt>
                <c:pt idx="182">
                  <c:v>290</c:v>
                </c:pt>
                <c:pt idx="183">
                  <c:v>679</c:v>
                </c:pt>
                <c:pt idx="184">
                  <c:v>556</c:v>
                </c:pt>
                <c:pt idx="185">
                  <c:v>85</c:v>
                </c:pt>
                <c:pt idx="186">
                  <c:v>42</c:v>
                </c:pt>
                <c:pt idx="187">
                  <c:v>435</c:v>
                </c:pt>
                <c:pt idx="188">
                  <c:v>197</c:v>
                </c:pt>
                <c:pt idx="189">
                  <c:v>451</c:v>
                </c:pt>
                <c:pt idx="190">
                  <c:v>135</c:v>
                </c:pt>
                <c:pt idx="191">
                  <c:v>88</c:v>
                </c:pt>
                <c:pt idx="192">
                  <c:v>224</c:v>
                </c:pt>
                <c:pt idx="193">
                  <c:v>300</c:v>
                </c:pt>
                <c:pt idx="194">
                  <c:v>373</c:v>
                </c:pt>
                <c:pt idx="195">
                  <c:v>44</c:v>
                </c:pt>
                <c:pt idx="196">
                  <c:v>173</c:v>
                </c:pt>
                <c:pt idx="197">
                  <c:v>92</c:v>
                </c:pt>
                <c:pt idx="198">
                  <c:v>126</c:v>
                </c:pt>
                <c:pt idx="199">
                  <c:v>122</c:v>
                </c:pt>
                <c:pt idx="200">
                  <c:v>312</c:v>
                </c:pt>
                <c:pt idx="201">
                  <c:v>61</c:v>
                </c:pt>
                <c:pt idx="202">
                  <c:v>972</c:v>
                </c:pt>
                <c:pt idx="203">
                  <c:v>3526</c:v>
                </c:pt>
                <c:pt idx="204">
                  <c:v>94</c:v>
                </c:pt>
                <c:pt idx="205">
                  <c:v>97</c:v>
                </c:pt>
                <c:pt idx="206">
                  <c:v>15049</c:v>
                </c:pt>
                <c:pt idx="207">
                  <c:v>576</c:v>
                </c:pt>
                <c:pt idx="208">
                  <c:v>23801</c:v>
                </c:pt>
                <c:pt idx="209">
                  <c:v>102</c:v>
                </c:pt>
                <c:pt idx="210">
                  <c:v>6766</c:v>
                </c:pt>
                <c:pt idx="211">
                  <c:v>145</c:v>
                </c:pt>
                <c:pt idx="212">
                  <c:v>172</c:v>
                </c:pt>
                <c:pt idx="213">
                  <c:v>387</c:v>
                </c:pt>
                <c:pt idx="214">
                  <c:v>93</c:v>
                </c:pt>
                <c:pt idx="215">
                  <c:v>58</c:v>
                </c:pt>
                <c:pt idx="216">
                  <c:v>553</c:v>
                </c:pt>
                <c:pt idx="217">
                  <c:v>385</c:v>
                </c:pt>
                <c:pt idx="218">
                  <c:v>58</c:v>
                </c:pt>
                <c:pt idx="219">
                  <c:v>206</c:v>
                </c:pt>
                <c:pt idx="220">
                  <c:v>282</c:v>
                </c:pt>
                <c:pt idx="221">
                  <c:v>273</c:v>
                </c:pt>
                <c:pt idx="222">
                  <c:v>105</c:v>
                </c:pt>
                <c:pt idx="223">
                  <c:v>42</c:v>
                </c:pt>
                <c:pt idx="224">
                  <c:v>141</c:v>
                </c:pt>
                <c:pt idx="225">
                  <c:v>139</c:v>
                </c:pt>
                <c:pt idx="226">
                  <c:v>715</c:v>
                </c:pt>
                <c:pt idx="227">
                  <c:v>54</c:v>
                </c:pt>
                <c:pt idx="228">
                  <c:v>72</c:v>
                </c:pt>
                <c:pt idx="229">
                  <c:v>834</c:v>
                </c:pt>
                <c:pt idx="230">
                  <c:v>32</c:v>
                </c:pt>
                <c:pt idx="231">
                  <c:v>84</c:v>
                </c:pt>
                <c:pt idx="232">
                  <c:v>36</c:v>
                </c:pt>
                <c:pt idx="233">
                  <c:v>85</c:v>
                </c:pt>
                <c:pt idx="234">
                  <c:v>183</c:v>
                </c:pt>
                <c:pt idx="235">
                  <c:v>191</c:v>
                </c:pt>
                <c:pt idx="236">
                  <c:v>1959</c:v>
                </c:pt>
                <c:pt idx="237">
                  <c:v>33</c:v>
                </c:pt>
                <c:pt idx="238">
                  <c:v>143</c:v>
                </c:pt>
                <c:pt idx="239">
                  <c:v>5852</c:v>
                </c:pt>
                <c:pt idx="240">
                  <c:v>353</c:v>
                </c:pt>
                <c:pt idx="241">
                  <c:v>830</c:v>
                </c:pt>
                <c:pt idx="242">
                  <c:v>372</c:v>
                </c:pt>
                <c:pt idx="243">
                  <c:v>371</c:v>
                </c:pt>
                <c:pt idx="244">
                  <c:v>330</c:v>
                </c:pt>
                <c:pt idx="245">
                  <c:v>1231</c:v>
                </c:pt>
                <c:pt idx="246">
                  <c:v>79</c:v>
                </c:pt>
                <c:pt idx="247">
                  <c:v>267</c:v>
                </c:pt>
                <c:pt idx="248">
                  <c:v>910</c:v>
                </c:pt>
                <c:pt idx="249">
                  <c:v>256</c:v>
                </c:pt>
              </c:numCache>
            </c:numRef>
          </c:yVal>
          <c:smooth val="0"/>
          <c:extLst>
            <c:ext xmlns:c16="http://schemas.microsoft.com/office/drawing/2014/chart" uri="{C3380CC4-5D6E-409C-BE32-E72D297353CC}">
              <c16:uniqueId val="{00000000-83DE-4F6F-8F81-38AE37AF56ED}"/>
            </c:ext>
          </c:extLst>
        </c:ser>
        <c:dLbls>
          <c:showLegendKey val="0"/>
          <c:showVal val="0"/>
          <c:showCatName val="0"/>
          <c:showSerName val="0"/>
          <c:showPercent val="0"/>
          <c:showBubbleSize val="0"/>
        </c:dLbls>
        <c:axId val="1150897648"/>
        <c:axId val="1150899312"/>
      </c:scatterChart>
      <c:valAx>
        <c:axId val="11508976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0899312"/>
        <c:crosses val="autoZero"/>
        <c:crossBetween val="midCat"/>
      </c:valAx>
      <c:valAx>
        <c:axId val="1150899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089764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size">
        <cx:f>_xlchart.v1.3</cx:f>
      </cx:numDim>
    </cx:data>
  </cx:chartData>
  <cx:chart>
    <cx:title pos="t" align="ctr" overlay="0">
      <cx:tx>
        <cx:txData>
          <cx:v>Vendas / Segmento (Milhões)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Vendas / Segmento (Milhões)</a:t>
          </a:r>
        </a:p>
      </cx:txPr>
    </cx:title>
    <cx:plotArea>
      <cx:plotAreaRegion>
        <cx:series layoutId="treemap" uniqueId="{F8DB62D6-C048-45E1-B4AC-0CC770CA1205}">
          <cx:dataLabels>
            <cx:numFmt formatCode="#.##0,00" sourceLinked="0"/>
            <cx:txPr>
              <a:bodyPr spcFirstLastPara="1" vertOverflow="ellipsis" horzOverflow="overflow" wrap="square" lIns="38100" tIns="19050" rIns="38100" bIns="19050" anchor="ctr" anchorCtr="1">
                <a:spAutoFit/>
              </a:bodyPr>
              <a:lstStyle/>
              <a:p>
                <a:pPr algn="ctr" rtl="0">
                  <a:defRPr>
                    <a:ln w="3175">
                      <a:solidFill>
                        <a:schemeClr val="tx1">
                          <a:alpha val="55000"/>
                        </a:schemeClr>
                      </a:solidFill>
                    </a:ln>
                  </a:defRPr>
                </a:pPr>
                <a:endParaRPr lang="en-US" sz="900" b="0" i="0" u="none" strike="noStrike" baseline="0">
                  <a:ln w="3175">
                    <a:solidFill>
                      <a:schemeClr val="tx1">
                        <a:alpha val="55000"/>
                      </a:schemeClr>
                    </a:solidFill>
                  </a:ln>
                  <a:solidFill>
                    <a:sysClr val="windowText" lastClr="000000">
                      <a:lumMod val="75000"/>
                      <a:lumOff val="25000"/>
                    </a:sysClr>
                  </a:solidFill>
                  <a:latin typeface="Calibri" panose="020F0502020204030204"/>
                </a:endParaRPr>
              </a:p>
            </cx:txPr>
            <cx:visibility seriesName="0" categoryName="1" value="1"/>
            <cx:separator>, </cx:separator>
            <cx:dataLabel idx="0">
              <cx:numFmt formatCode="#.##0,00" sourceLinked="0"/>
              <cx:txPr>
                <a:bodyPr spcFirstLastPara="1" vertOverflow="ellipsis" horzOverflow="overflow" wrap="square" lIns="38100" tIns="19050" rIns="38100" bIns="19050" anchor="ctr" anchorCtr="1">
                  <a:spAutoFit/>
                </a:bodyPr>
                <a:lstStyle/>
                <a:p>
                  <a:pPr algn="ctr" rtl="0">
                    <a:defRPr>
                      <a:ln w="3175">
                        <a:solidFill>
                          <a:schemeClr val="tx1">
                            <a:alpha val="55000"/>
                          </a:schemeClr>
                        </a:solidFill>
                      </a:ln>
                      <a:solidFill>
                        <a:schemeClr val="tx1"/>
                      </a:solidFill>
                    </a:defRPr>
                  </a:pPr>
                  <a:r>
                    <a:rPr lang="en-US" sz="900" b="0" i="0" u="none" strike="noStrike" baseline="0">
                      <a:ln w="3175">
                        <a:solidFill>
                          <a:schemeClr val="tx1">
                            <a:alpha val="55000"/>
                          </a:schemeClr>
                        </a:solidFill>
                      </a:ln>
                      <a:solidFill>
                        <a:schemeClr val="tx1"/>
                      </a:solidFill>
                      <a:latin typeface="Calibri" panose="020F0502020204030204"/>
                    </a:rPr>
                    <a:t>Quick Service &amp; Burger, 79.384,00</a:t>
                  </a:r>
                </a:p>
              </cx:txPr>
              <cx:visibility seriesName="0" categoryName="1" value="1"/>
              <cx:separator>, </cx:separator>
            </cx:dataLabel>
          </cx:dataLabels>
          <cx:dataId val="0"/>
          <cx:layoutPr>
            <cx:parentLabelLayout val="overlapping"/>
          </cx:layoutPr>
        </cx:series>
      </cx:plotAreaRegion>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size">
        <cx:f>_xlchart.v1.5</cx:f>
      </cx:numDim>
    </cx:data>
  </cx:chartData>
  <cx:chart>
    <cx:title pos="t" align="ctr" overlay="0">
      <cx:tx>
        <cx:rich>
          <a:bodyPr spcFirstLastPara="1" vertOverflow="ellipsis" horzOverflow="overflow" wrap="square" lIns="0" tIns="0" rIns="0" bIns="0" anchor="ctr" anchorCtr="1"/>
          <a:lstStyle/>
          <a:p>
            <a:pPr algn="ctr" rtl="0">
              <a:defRPr/>
            </a:pPr>
            <a:r>
              <a:rPr lang="en-US" sz="1800" b="1" i="0" u="none" strike="noStrike" cap="all" spc="150" baseline="0">
                <a:solidFill>
                  <a:schemeClr val="tx1"/>
                </a:solidFill>
                <a:latin typeface="+mn-lt"/>
              </a:rPr>
              <a:t>Vendas / Segmento (US$ MM)</a:t>
            </a:r>
          </a:p>
          <a:p>
            <a:pPr algn="ctr" rtl="0">
              <a:defRPr/>
            </a:pPr>
            <a:r>
              <a:rPr lang="en-US" sz="900" b="1" i="0" u="none" strike="noStrike" cap="all" spc="150" baseline="0">
                <a:solidFill>
                  <a:schemeClr val="tx1"/>
                </a:solidFill>
                <a:latin typeface="+mn-lt"/>
              </a:rPr>
              <a:t>* Excluindo Outliers</a:t>
            </a:r>
          </a:p>
        </cx:rich>
      </cx:tx>
      <cx:spPr>
        <a:solidFill>
          <a:schemeClr val="bg1"/>
        </a:solidFill>
        <a:ln>
          <a:solidFill>
            <a:schemeClr val="bg1"/>
          </a:solidFill>
        </a:ln>
      </cx:spPr>
    </cx:title>
    <cx:plotArea>
      <cx:plotAreaRegion>
        <cx:series layoutId="treemap" uniqueId="{5B38C432-50AE-4810-A99F-DA08B79A5BEE}">
          <cx:dataLabels pos="inEnd">
            <cx:numFmt formatCode="#.##0,00" sourceLinked="0"/>
            <cx:txPr>
              <a:bodyPr spcFirstLastPara="1" vertOverflow="ellipsis" horzOverflow="overflow" wrap="square" lIns="38100" tIns="19050" rIns="38100" bIns="19050" anchor="ctr" anchorCtr="1">
                <a:spAutoFit/>
              </a:bodyPr>
              <a:lstStyle/>
              <a:p>
                <a:pPr algn="ctr" rtl="0">
                  <a:defRPr>
                    <a:ln>
                      <a:noFill/>
                    </a:ln>
                    <a:solidFill>
                      <a:sysClr val="windowText" lastClr="000000">
                        <a:lumMod val="75000"/>
                        <a:lumOff val="25000"/>
                      </a:sysClr>
                    </a:solidFill>
                  </a:defRPr>
                </a:pPr>
                <a:endParaRPr lang="en-US" sz="900" b="0" i="0" u="none" strike="noStrike" baseline="0">
                  <a:ln>
                    <a:noFill/>
                  </a:ln>
                  <a:solidFill>
                    <a:sysClr val="windowText" lastClr="000000">
                      <a:lumMod val="75000"/>
                      <a:lumOff val="25000"/>
                    </a:sysClr>
                  </a:solidFill>
                  <a:latin typeface="Calibri" panose="020F0502020204030204"/>
                </a:endParaRPr>
              </a:p>
            </cx:txPr>
            <cx:visibility seriesName="0" categoryName="1" value="1"/>
            <cx:separator>, </cx:separator>
          </cx:dataLabels>
          <cx:dataId val="0"/>
          <cx:layoutPr>
            <cx:parentLabelLayout val="overlapping"/>
          </cx:layoutPr>
        </cx:series>
      </cx:plotAreaRegion>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_xlchart.v1.10</cx:f>
      </cx:strDim>
      <cx:numDim type="size">
        <cx:f>_xlchart.v1.11</cx:f>
      </cx:numDim>
    </cx:data>
  </cx:chartData>
  <cx:chart>
    <cx:title pos="t" align="ctr" overlay="0">
      <cx:tx>
        <cx:txData>
          <cx:v>Média de Vendas / Unidade no setoR (US$ MM)</cx:v>
        </cx:txData>
      </cx:tx>
      <cx:txPr>
        <a:bodyPr spcFirstLastPara="1" vertOverflow="ellipsis" horzOverflow="overflow" wrap="square" lIns="0" tIns="0" rIns="0" bIns="0" anchor="ctr" anchorCtr="1"/>
        <a:lstStyle/>
        <a:p>
          <a:pPr algn="ctr" rtl="0">
            <a:defRPr sz="1300" baseline="0">
              <a:ln>
                <a:solidFill>
                  <a:schemeClr val="tx1"/>
                </a:solidFill>
              </a:ln>
              <a:latin typeface="+mn-lt"/>
            </a:defRPr>
          </a:pPr>
          <a:r>
            <a:rPr lang="en-US" sz="1300" b="0" i="0" u="none" strike="noStrike" cap="all" normalizeH="0" baseline="0">
              <a:ln>
                <a:solidFill>
                  <a:schemeClr val="tx1"/>
                </a:solidFill>
              </a:ln>
              <a:solidFill>
                <a:sysClr val="windowText" lastClr="000000">
                  <a:lumMod val="65000"/>
                  <a:lumOff val="35000"/>
                </a:sysClr>
              </a:solidFill>
              <a:latin typeface="+mn-lt"/>
            </a:rPr>
            <a:t>Média de Vendas / Unidade no setoR (US$ MM)</a:t>
          </a:r>
        </a:p>
      </cx:txPr>
    </cx:title>
    <cx:plotArea>
      <cx:plotAreaRegion>
        <cx:series layoutId="treemap" uniqueId="{DDD4F9F4-AEA1-421E-B9D0-416A9AAD689C}">
          <cx:dataLabels pos="inEnd">
            <cx:visibility seriesName="0" categoryName="1" value="1"/>
            <cx:separator>, </cx:separator>
          </cx:dataLabels>
          <cx:dataId val="0"/>
          <cx:layoutPr>
            <cx:parentLabelLayout val="overlapping"/>
          </cx:layoutPr>
        </cx:series>
      </cx:plotAreaRegion>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8">
  <a:schemeClr val="accent5"/>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5">
  <a:schemeClr val="accent2"/>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18">
  <cs:axisTitle>
    <cs:lnRef idx="0"/>
    <cs:fillRef idx="0"/>
    <cs:effectRef idx="0"/>
    <cs:fontRef idx="minor">
      <a:schemeClr val="tx1">
        <a:lumMod val="50000"/>
        <a:lumOff val="50000"/>
      </a:schemeClr>
    </cs:fontRef>
    <cs:spPr>
      <a:solidFill>
        <a:schemeClr val="bg1">
          <a:lumMod val="85000"/>
        </a:schemeClr>
      </a:solidFill>
      <a:ln w="19050">
        <a:solidFill>
          <a:schemeClr val="bg1"/>
        </a:solidFill>
      </a:ln>
    </cs:spPr>
    <cs:defRPr sz="900"/>
  </cs:axisTitle>
  <cs:categoryAxis>
    <cs:lnRef idx="0"/>
    <cs:fillRef idx="0"/>
    <cs:effectRef idx="0"/>
    <cs:fontRef idx="minor">
      <a:schemeClr val="tx1">
        <a:lumMod val="50000"/>
        <a:lumOff val="50000"/>
      </a:schemeClr>
    </cs:fontRef>
    <cs:spPr>
      <a:ln w="19050" cap="flat" cmpd="sng" algn="ctr">
        <a:solidFill>
          <a:schemeClr val="tx1">
            <a:lumMod val="25000"/>
            <a:lumOff val="75000"/>
          </a:schemeClr>
        </a:solidFill>
        <a:round/>
      </a:ln>
    </cs:spPr>
    <cs:defRPr sz="9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cs:chartArea>
  <cs:dataLabel>
    <cs:lnRef idx="0"/>
    <cs:fillRef idx="0"/>
    <cs:effectRef idx="0"/>
    <cs:fontRef idx="minor">
      <a:schemeClr val="tx1">
        <a:lumMod val="75000"/>
        <a:lumOff val="25000"/>
      </a:schemeClr>
    </cs:fontRef>
    <cs:defRPr sz="900"/>
    <cs:bodyPr lIns="38100" tIns="19050" rIns="38100" bIns="19050">
      <a:spAutoFit/>
    </cs:bodyPr>
  </cs:dataLabel>
  <cs:dataLabelCallout>
    <cs:lnRef idx="0"/>
    <cs:fillRef idx="0"/>
    <cs:effectRef idx="0"/>
    <cs:fontRef idx="minor">
      <a:schemeClr val="dk1">
        <a:lumMod val="50000"/>
        <a:lumOff val="50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9525">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solidFill>
        <a:schemeClr val="phClr"/>
      </a:solidFill>
      <a:ln w="9525">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lumOff val="10000"/>
          </a:schemeClr>
        </a:solidFill>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19050" cap="flat" cmpd="sng" algn="ctr">
        <a:solidFill>
          <a:schemeClr val="tx1">
            <a:lumMod val="25000"/>
            <a:lumOff val="75000"/>
          </a:schemeClr>
        </a:solidFill>
        <a:round/>
      </a:ln>
    </cs:spPr>
    <cs:defRPr sz="900"/>
  </cs:seriesAxis>
  <cs:seriesLine>
    <cs:lnRef idx="0"/>
    <cs:fillRef idx="0"/>
    <cs:effectRef idx="0"/>
    <cs:fontRef idx="minor">
      <a:schemeClr val="dk1"/>
    </cs:fontRef>
    <cs:spPr>
      <a:ln w="9525" cap="flat">
        <a:solidFill>
          <a:srgbClr val="D9D9D9"/>
        </a:solidFill>
        <a:round/>
      </a:ln>
    </cs:spPr>
  </cs:seriesLine>
  <cs:title>
    <cs:lnRef idx="0"/>
    <cs:fillRef idx="0"/>
    <cs:effectRef idx="0"/>
    <cs:fontRef idx="minor">
      <a:schemeClr val="tx1">
        <a:lumMod val="50000"/>
        <a:lumOff val="50000"/>
      </a:schemeClr>
    </cs:fontRef>
    <cs:defRPr sz="1800" b="1" cap="all" spc="15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50000"/>
        <a:lumOff val="50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50000"/>
        <a:lumOff val="50000"/>
      </a:schemeClr>
    </cs:fontRef>
    <cs:defRPr sz="9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418">
  <cs:axisTitle>
    <cs:lnRef idx="0"/>
    <cs:fillRef idx="0"/>
    <cs:effectRef idx="0"/>
    <cs:fontRef idx="minor">
      <a:schemeClr val="tx1">
        <a:lumMod val="50000"/>
        <a:lumOff val="50000"/>
      </a:schemeClr>
    </cs:fontRef>
    <cs:spPr>
      <a:solidFill>
        <a:schemeClr val="bg1">
          <a:lumMod val="85000"/>
        </a:schemeClr>
      </a:solidFill>
      <a:ln w="19050">
        <a:solidFill>
          <a:schemeClr val="bg1"/>
        </a:solidFill>
      </a:ln>
    </cs:spPr>
    <cs:defRPr sz="900"/>
  </cs:axisTitle>
  <cs:categoryAxis>
    <cs:lnRef idx="0"/>
    <cs:fillRef idx="0"/>
    <cs:effectRef idx="0"/>
    <cs:fontRef idx="minor">
      <a:schemeClr val="tx1">
        <a:lumMod val="50000"/>
        <a:lumOff val="50000"/>
      </a:schemeClr>
    </cs:fontRef>
    <cs:spPr>
      <a:ln w="19050" cap="flat" cmpd="sng" algn="ctr">
        <a:solidFill>
          <a:schemeClr val="tx1">
            <a:lumMod val="25000"/>
            <a:lumOff val="75000"/>
          </a:schemeClr>
        </a:solidFill>
        <a:round/>
      </a:ln>
    </cs:spPr>
    <cs:defRPr sz="9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cs:chartArea>
  <cs:dataLabel>
    <cs:lnRef idx="0"/>
    <cs:fillRef idx="0"/>
    <cs:effectRef idx="0"/>
    <cs:fontRef idx="minor">
      <a:schemeClr val="tx1">
        <a:lumMod val="75000"/>
        <a:lumOff val="25000"/>
      </a:schemeClr>
    </cs:fontRef>
    <cs:defRPr sz="900"/>
    <cs:bodyPr lIns="38100" tIns="19050" rIns="38100" bIns="19050">
      <a:spAutoFit/>
    </cs:bodyPr>
  </cs:dataLabel>
  <cs:dataLabelCallout>
    <cs:lnRef idx="0"/>
    <cs:fillRef idx="0"/>
    <cs:effectRef idx="0"/>
    <cs:fontRef idx="minor">
      <a:schemeClr val="dk1">
        <a:lumMod val="50000"/>
        <a:lumOff val="50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9525">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solidFill>
        <a:schemeClr val="phClr"/>
      </a:solidFill>
      <a:ln w="9525">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lumOff val="10000"/>
          </a:schemeClr>
        </a:solidFill>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19050" cap="flat" cmpd="sng" algn="ctr">
        <a:solidFill>
          <a:schemeClr val="tx1">
            <a:lumMod val="25000"/>
            <a:lumOff val="75000"/>
          </a:schemeClr>
        </a:solidFill>
        <a:round/>
      </a:ln>
    </cs:spPr>
    <cs:defRPr sz="900"/>
  </cs:seriesAxis>
  <cs:seriesLine>
    <cs:lnRef idx="0"/>
    <cs:fillRef idx="0"/>
    <cs:effectRef idx="0"/>
    <cs:fontRef idx="minor">
      <a:schemeClr val="dk1"/>
    </cs:fontRef>
    <cs:spPr>
      <a:ln w="9525" cap="flat">
        <a:solidFill>
          <a:srgbClr val="D9D9D9"/>
        </a:solidFill>
        <a:round/>
      </a:ln>
    </cs:spPr>
  </cs:seriesLine>
  <cs:title>
    <cs:lnRef idx="0"/>
    <cs:fillRef idx="0"/>
    <cs:effectRef idx="0"/>
    <cs:fontRef idx="minor">
      <a:schemeClr val="tx1">
        <a:lumMod val="50000"/>
        <a:lumOff val="50000"/>
      </a:schemeClr>
    </cs:fontRef>
    <cs:defRPr sz="1800" b="1" cap="all" spc="15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50000"/>
        <a:lumOff val="50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50000"/>
        <a:lumOff val="50000"/>
      </a:schemeClr>
    </cs:fontRef>
    <cs:defRPr sz="9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18">
  <cs:axisTitle>
    <cs:lnRef idx="0"/>
    <cs:fillRef idx="0"/>
    <cs:effectRef idx="0"/>
    <cs:fontRef idx="minor">
      <a:schemeClr val="tx1">
        <a:lumMod val="50000"/>
        <a:lumOff val="50000"/>
      </a:schemeClr>
    </cs:fontRef>
    <cs:spPr>
      <a:solidFill>
        <a:schemeClr val="bg1">
          <a:lumMod val="85000"/>
        </a:schemeClr>
      </a:solidFill>
      <a:ln w="19050">
        <a:solidFill>
          <a:schemeClr val="bg1"/>
        </a:solidFill>
      </a:ln>
    </cs:spPr>
    <cs:defRPr sz="900"/>
  </cs:axisTitle>
  <cs:categoryAxis>
    <cs:lnRef idx="0"/>
    <cs:fillRef idx="0"/>
    <cs:effectRef idx="0"/>
    <cs:fontRef idx="minor">
      <a:schemeClr val="tx1">
        <a:lumMod val="50000"/>
        <a:lumOff val="50000"/>
      </a:schemeClr>
    </cs:fontRef>
    <cs:spPr>
      <a:ln w="19050" cap="flat" cmpd="sng" algn="ctr">
        <a:solidFill>
          <a:schemeClr val="tx1">
            <a:lumMod val="25000"/>
            <a:lumOff val="75000"/>
          </a:schemeClr>
        </a:solidFill>
        <a:round/>
      </a:ln>
    </cs:spPr>
    <cs:defRPr sz="9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cs:chartArea>
  <cs:dataLabel>
    <cs:lnRef idx="0"/>
    <cs:fillRef idx="0"/>
    <cs:effectRef idx="0"/>
    <cs:fontRef idx="minor">
      <a:schemeClr val="tx1">
        <a:lumMod val="75000"/>
        <a:lumOff val="25000"/>
      </a:schemeClr>
    </cs:fontRef>
    <cs:defRPr sz="900"/>
    <cs:bodyPr lIns="38100" tIns="19050" rIns="38100" bIns="19050">
      <a:spAutoFit/>
    </cs:bodyPr>
  </cs:dataLabel>
  <cs:dataLabelCallout>
    <cs:lnRef idx="0"/>
    <cs:fillRef idx="0"/>
    <cs:effectRef idx="0"/>
    <cs:fontRef idx="minor">
      <a:schemeClr val="dk1">
        <a:lumMod val="50000"/>
        <a:lumOff val="50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9525">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solidFill>
        <a:schemeClr val="phClr"/>
      </a:solidFill>
      <a:ln w="9525">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lumOff val="10000"/>
          </a:schemeClr>
        </a:solidFill>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19050" cap="flat" cmpd="sng" algn="ctr">
        <a:solidFill>
          <a:schemeClr val="tx1">
            <a:lumMod val="25000"/>
            <a:lumOff val="75000"/>
          </a:schemeClr>
        </a:solidFill>
        <a:round/>
      </a:ln>
    </cs:spPr>
    <cs:defRPr sz="900"/>
  </cs:seriesAxis>
  <cs:seriesLine>
    <cs:lnRef idx="0"/>
    <cs:fillRef idx="0"/>
    <cs:effectRef idx="0"/>
    <cs:fontRef idx="minor">
      <a:schemeClr val="dk1"/>
    </cs:fontRef>
    <cs:spPr>
      <a:ln w="9525" cap="flat">
        <a:solidFill>
          <a:srgbClr val="D9D9D9"/>
        </a:solidFill>
        <a:round/>
      </a:ln>
    </cs:spPr>
  </cs:seriesLine>
  <cs:title>
    <cs:lnRef idx="0"/>
    <cs:fillRef idx="0"/>
    <cs:effectRef idx="0"/>
    <cs:fontRef idx="minor">
      <a:schemeClr val="tx1">
        <a:lumMod val="50000"/>
        <a:lumOff val="50000"/>
      </a:schemeClr>
    </cs:fontRef>
    <cs:defRPr sz="1800" b="1" cap="all" spc="15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50000"/>
        <a:lumOff val="50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50000"/>
        <a:lumOff val="50000"/>
      </a:schemeClr>
    </cs:fontRef>
    <cs:defRPr sz="9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microsoft.com/office/2014/relationships/chartEx" Target="../charts/chartEx2.xml"/><Relationship Id="rId2" Type="http://schemas.microsoft.com/office/2014/relationships/chartEx" Target="../charts/chartEx1.xml"/><Relationship Id="rId1" Type="http://schemas.openxmlformats.org/officeDocument/2006/relationships/chart" Target="../charts/chart2.xml"/><Relationship Id="rId5" Type="http://schemas.microsoft.com/office/2014/relationships/chartEx" Target="../charts/chartEx3.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xdr:col>
      <xdr:colOff>590550</xdr:colOff>
      <xdr:row>1</xdr:row>
      <xdr:rowOff>19050</xdr:rowOff>
    </xdr:from>
    <xdr:to>
      <xdr:col>7</xdr:col>
      <xdr:colOff>285750</xdr:colOff>
      <xdr:row>15</xdr:row>
      <xdr:rowOff>95250</xdr:rowOff>
    </xdr:to>
    <xdr:graphicFrame macro="">
      <xdr:nvGraphicFramePr>
        <xdr:cNvPr id="2" name="Chart 1">
          <a:extLst>
            <a:ext uri="{FF2B5EF4-FFF2-40B4-BE49-F238E27FC236}">
              <a16:creationId xmlns:a16="http://schemas.microsoft.com/office/drawing/2014/main" id="{0D4818D0-3281-47C6-B94B-B38E783668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0</xdr:row>
      <xdr:rowOff>85725</xdr:rowOff>
    </xdr:from>
    <xdr:to>
      <xdr:col>4</xdr:col>
      <xdr:colOff>247650</xdr:colOff>
      <xdr:row>12</xdr:row>
      <xdr:rowOff>76200</xdr:rowOff>
    </xdr:to>
    <xdr:graphicFrame macro="">
      <xdr:nvGraphicFramePr>
        <xdr:cNvPr id="7" name="Chart 6">
          <a:extLst>
            <a:ext uri="{FF2B5EF4-FFF2-40B4-BE49-F238E27FC236}">
              <a16:creationId xmlns:a16="http://schemas.microsoft.com/office/drawing/2014/main" id="{4809F656-6541-48D7-89D4-A0D115BE52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19049</xdr:colOff>
      <xdr:row>38</xdr:row>
      <xdr:rowOff>104774</xdr:rowOff>
    </xdr:from>
    <xdr:to>
      <xdr:col>19</xdr:col>
      <xdr:colOff>447675</xdr:colOff>
      <xdr:row>60</xdr:row>
      <xdr:rowOff>57150</xdr:rowOff>
    </xdr:to>
    <mc:AlternateContent xmlns:mc="http://schemas.openxmlformats.org/markup-compatibility/2006">
      <mc:Choice xmlns:cx1="http://schemas.microsoft.com/office/drawing/2015/9/8/chartex" Requires="cx1">
        <xdr:graphicFrame macro="">
          <xdr:nvGraphicFramePr>
            <xdr:cNvPr id="12" name="Chart 11">
              <a:extLst>
                <a:ext uri="{FF2B5EF4-FFF2-40B4-BE49-F238E27FC236}">
                  <a16:creationId xmlns:a16="http://schemas.microsoft.com/office/drawing/2014/main" id="{4174DDAA-7D31-43D1-921F-4B104EB6647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8972549" y="7343774"/>
              <a:ext cx="6296026" cy="414337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xdr:col>
      <xdr:colOff>371474</xdr:colOff>
      <xdr:row>0</xdr:row>
      <xdr:rowOff>114300</xdr:rowOff>
    </xdr:from>
    <xdr:to>
      <xdr:col>11</xdr:col>
      <xdr:colOff>390524</xdr:colOff>
      <xdr:row>17</xdr:row>
      <xdr:rowOff>114300</xdr:rowOff>
    </xdr:to>
    <mc:AlternateContent xmlns:mc="http://schemas.openxmlformats.org/markup-compatibility/2006">
      <mc:Choice xmlns:cx1="http://schemas.microsoft.com/office/drawing/2015/9/8/chartex" Requires="cx1">
        <xdr:graphicFrame macro="">
          <xdr:nvGraphicFramePr>
            <xdr:cNvPr id="13" name="Chart 12">
              <a:extLst>
                <a:ext uri="{FF2B5EF4-FFF2-40B4-BE49-F238E27FC236}">
                  <a16:creationId xmlns:a16="http://schemas.microsoft.com/office/drawing/2014/main" id="{8652E829-5ADA-4A64-89DC-14D9AB24846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6381749" y="114300"/>
              <a:ext cx="5553075" cy="32385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323849</xdr:colOff>
      <xdr:row>503</xdr:row>
      <xdr:rowOff>95250</xdr:rowOff>
    </xdr:from>
    <xdr:to>
      <xdr:col>7</xdr:col>
      <xdr:colOff>666749</xdr:colOff>
      <xdr:row>519</xdr:row>
      <xdr:rowOff>114300</xdr:rowOff>
    </xdr:to>
    <xdr:graphicFrame macro="">
      <xdr:nvGraphicFramePr>
        <xdr:cNvPr id="15" name="Chart 14">
          <a:extLst>
            <a:ext uri="{FF2B5EF4-FFF2-40B4-BE49-F238E27FC236}">
              <a16:creationId xmlns:a16="http://schemas.microsoft.com/office/drawing/2014/main" id="{706CF81B-7374-4DE7-A517-4AE0F7FC39B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152400</xdr:colOff>
      <xdr:row>13</xdr:row>
      <xdr:rowOff>0</xdr:rowOff>
    </xdr:from>
    <xdr:to>
      <xdr:col>5</xdr:col>
      <xdr:colOff>28575</xdr:colOff>
      <xdr:row>27</xdr:row>
      <xdr:rowOff>76200</xdr:rowOff>
    </xdr:to>
    <mc:AlternateContent xmlns:mc="http://schemas.openxmlformats.org/markup-compatibility/2006">
      <mc:Choice xmlns:cx1="http://schemas.microsoft.com/office/drawing/2015/9/8/chartex" Requires="cx1">
        <xdr:graphicFrame macro="">
          <xdr:nvGraphicFramePr>
            <xdr:cNvPr id="17" name="Chart 16">
              <a:extLst>
                <a:ext uri="{FF2B5EF4-FFF2-40B4-BE49-F238E27FC236}">
                  <a16:creationId xmlns:a16="http://schemas.microsoft.com/office/drawing/2014/main" id="{A1295474-2251-4F43-AE1D-2B2F95D488F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52400" y="2476500"/>
              <a:ext cx="588645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nicius Suares" refreshedDate="44292.715575115741" createdVersion="6" refreshedVersion="6" minRefreshableVersion="3" recordCount="250" xr:uid="{CB975ECC-F144-4B6E-9CF7-6F3CC1F46431}">
  <cacheSource type="worksheet">
    <worksheetSource ref="A1:J251" sheet="Pré processamento"/>
  </cacheSource>
  <cacheFields count="10">
    <cacheField name="Rank" numFmtId="0">
      <sharedItems containsSemiMixedTypes="0" containsString="0" containsNumber="1" containsInteger="1" minValue="1" maxValue="250"/>
    </cacheField>
    <cacheField name="Restaurant" numFmtId="0">
      <sharedItems count="250">
        <s v="McDonald's"/>
        <s v="Starbucks"/>
        <s v="Chick-fil-A"/>
        <s v="Taco Bell"/>
        <s v="Burger King"/>
        <s v="Subway"/>
        <s v="Wendy's"/>
        <s v="Dunkin'"/>
        <s v="Domino's"/>
        <s v="Panera Bread"/>
        <s v="Pizza Hut"/>
        <s v="Chipotle Mexican Grill"/>
        <s v="Sonic Drive-In"/>
        <s v="KFC"/>
        <s v="Olive Garden"/>
        <s v="Applebee's"/>
        <s v="Panda Express"/>
        <s v="Arby's"/>
        <s v="Popeyes Louisiana Kitchen"/>
        <s v="Little Caesars"/>
        <s v="Dairy Queen"/>
        <s v="Buffalo Wild Wings"/>
        <s v="Chili's Grill &amp; Bar"/>
        <s v="Jack in the Box"/>
        <s v="IHOP"/>
        <s v="Texas Roadhouse"/>
        <s v="Denny's"/>
        <s v="Papa John's"/>
        <s v="Outback Steakhouse"/>
        <s v="Whataburger"/>
        <s v="Red Lobster"/>
        <s v="Cracker Barrel"/>
        <s v="The Cheesecake Factory"/>
        <s v="Jimmy John's Gourmet Sandwiches"/>
        <s v="Hardee's"/>
        <s v="Zaxby's"/>
        <s v="LongHorn Steakhouse"/>
        <s v="Culver's"/>
        <s v="Golden Corral"/>
        <s v="Five Guys Burgers and Fries"/>
        <s v="Red Robin Gourmet Burgers and Brews"/>
        <s v="Raising Cane's Chicken Fingers"/>
        <s v="Carl's Jr."/>
        <s v="Wingstop"/>
        <s v="Waffle House"/>
        <s v="Jersey Mike's Subs"/>
        <s v="Bojangles'"/>
        <s v="BJ's Restaurant &amp; Brewhouse"/>
        <s v="TGI Fridays"/>
        <s v="In-N-Out Burger"/>
        <s v="Steak 'n Shake"/>
        <s v="P.F. Chang's"/>
        <s v="Qdoba Mexican Eats"/>
        <s v="El Pollo Loco"/>
        <s v="Krispy Kreme"/>
        <s v="Hooters"/>
        <s v="Del Taco"/>
        <s v="Firehouse Subs"/>
        <s v="Bob Evans"/>
        <s v="Moe's Southwest Grill"/>
        <s v="Papa Murphy's Pizza"/>
        <s v="Ruby Tuesday"/>
        <s v="McAlister's Deli"/>
        <s v="Cheddar's Scratch Kitchen"/>
        <s v="Church's Chicken"/>
        <s v="Tim Hortons"/>
        <s v="Ruth's Chris Steak House"/>
        <s v="Carrabba's Italian Grill"/>
        <s v="Jason's Deli"/>
        <s v="Marco's Pizza"/>
        <s v="Shake Shack"/>
        <s v="California Pizza Kitchen"/>
        <s v="Baskin-Robbins"/>
        <s v="Yard House"/>
        <s v="Bonefish Grill"/>
        <s v="White Castle"/>
        <s v="Tropical Smoothie Cafe"/>
        <s v="Dave &amp; Buster's"/>
        <s v="Dutch Bros. Coffee"/>
        <s v="Captain D's Seafood Kitchen"/>
        <s v="Auntie Anne's"/>
        <s v="First Watch"/>
        <s v="Perkins Restaurant &amp; Bakery"/>
        <s v="Freddy's Frozen Custard &amp; Steakburgers"/>
        <s v="Checkers Drive-In Restaurants"/>
        <s v="Noodles &amp; Company"/>
        <s v="Einstein Bros. Bagels"/>
        <s v="Jamba"/>
        <s v="Portillo's"/>
        <s v="Boston Market"/>
        <s v="The Habit Burger Grill"/>
        <s v="Logan's Roadhouse"/>
        <s v="MOD Pizza"/>
        <s v="Smoothie King"/>
        <s v="Mellow Mushroom"/>
        <s v="The Capital Grille"/>
        <s v="Round Table Pizza"/>
        <s v="Miller's Ale House"/>
        <s v="Potbelly sandwich Shop"/>
        <s v="Hungry Howie's Pizza"/>
        <s v="Charleys Philly Steaks"/>
        <s v="Chuy's"/>
        <s v="O'Charley's"/>
        <s v="Pollo Tropical"/>
        <s v="Maggiano's Little Italy"/>
        <s v="Cicis"/>
        <s v="Long John Silver's"/>
        <s v="Saltgrass Steak House"/>
        <s v="Chuck E. Cheese's"/>
        <s v="Taco John's"/>
        <s v="Texas de Brazil Churrascaria"/>
        <s v="Cold Stone Creamery"/>
        <s v="Blaze Pizza"/>
        <s v="Peet's Coffee"/>
        <s v="Dickey's Barbecue Pit"/>
        <s v="Zoes Kitchen"/>
        <s v="Corner Bakery_Cafe"/>
        <s v="Krystal Co."/>
        <s v="Benihana"/>
        <s v="Cooper's Hawk Winery &amp; Restaurants"/>
        <s v="Big Boy/Frisch's Big Boy"/>
        <s v="Black Bear Diner"/>
        <s v="Twin Peaks"/>
        <s v="Schlotzsky's"/>
        <s v="Jet's Pizza"/>
        <s v="Famous Dave's"/>
        <s v="On The Border Mexican Grill &amp; Cantina"/>
        <s v="Fogo de Chao"/>
        <s v="Ninety Nine Restaurants"/>
        <s v="Village Inn"/>
        <s v="Taco Cabana"/>
        <s v="Fleming's Prime Steakhouse &amp; Wine Bar"/>
        <s v="Caribou Coffee"/>
        <s v="Jack's"/>
        <s v="Au Bon Pain"/>
        <s v="Bar Louie"/>
        <s v="Sarku Japan"/>
        <s v="Old Chicago Pizza &amp; Taproom"/>
        <s v="Rally's Hamburgers"/>
        <s v="Torchy's Tacos"/>
        <s v="Pizza Ranch"/>
        <s v="Pappadeaux Seafood Kitchen"/>
        <s v="Braum's Ice Cream &amp; Dairy Stores"/>
        <s v="Pei Wei Asian Diner"/>
        <s v="Cafe Rio Mexican Grill"/>
        <s v="Morton's The Steakhouse"/>
        <s v="Smashburger"/>
        <s v="Wienerschnitzel"/>
        <s v="Sizzler"/>
        <s v="Seasons 52"/>
        <s v="Bahama Breeze Island Grille"/>
        <s v="Pret A Manger"/>
        <s v="Godfather's Pizza"/>
        <s v="Huddle House"/>
        <s v="Mastro's Restaurants"/>
        <s v="Uncle Julio's"/>
        <s v="Fazoli's"/>
        <s v="Rubio's"/>
        <s v="Legal Sea Foods"/>
        <s v="A&amp;W All-American Food"/>
        <s v="Newk's Eatery"/>
        <s v="Fuzzy's Taco Shop"/>
        <s v="Sbarro"/>
        <s v="Romano's Macaroni Grill"/>
        <s v="Brio Tuscan Grille"/>
        <s v="Lazy Dog Restaurant &amp; Bar"/>
        <s v="Souplantation &amp; Sweet Tomatoes"/>
        <s v="Friendly's"/>
        <s v="Del Frisco's Double Eagle Steak House"/>
        <s v="Penn Station East Coast Subs"/>
        <s v="Cinnabon"/>
        <s v="Uno Pizzeria &amp; Grill"/>
        <s v="J. Alexander's"/>
        <s v="Luby's"/>
        <s v="Which Wich"/>
        <s v="Firebirds Wood Fired Grill"/>
        <s v="Le Pain Quotidien"/>
        <s v="Sonny's BBQ"/>
        <s v="True Food Kitchen"/>
        <s v="Buca di Beppo"/>
        <s v="Hard Rock Cafe"/>
        <s v="Johnny Rockets"/>
        <s v="Fuddruckers"/>
        <s v="The Original Pancake House"/>
        <s v="Sweetgreen"/>
        <s v="Golden Chick"/>
        <s v="Mountain Mike's Pizza"/>
        <s v="Bubba Gump Shrimp Co."/>
        <s v="The Melting Pot"/>
        <s v="Farmer Boys"/>
        <s v="Donatos Pizza"/>
        <s v="Shoney's"/>
        <s v="Taco Bueno"/>
        <s v="Claim Jumper"/>
        <s v="Wetzel's Pretzels"/>
        <s v="La Madeleine Country French Cafe"/>
        <s v="Giordano's"/>
        <s v="Islands Fine Burgers &amp; Drinks"/>
        <s v="Mimi's Bistro &amp; Bakery"/>
        <s v="Beef 'O' Brady's"/>
        <s v="Metro Diner"/>
        <s v="Bill Miller Bar-B-Q"/>
        <s v="Black Angus Steakhouse"/>
        <s v="Smokey Bones Bar &amp; Fire Grill"/>
        <s v="Joe's Crab Shack"/>
        <s v="LaRosa's Pizzeria"/>
        <s v="Roosters"/>
        <s v="Great Harvest Bread Co."/>
        <s v="Shari's Cafe and Pies"/>
        <s v="Lee's Famous Recipe Chicken"/>
        <s v="Wayback Burgers"/>
        <s v="McCormick &amp; Schmick's"/>
        <s v="Grand Lux Cafe"/>
        <s v="Anthony's Coal Fired Pizza"/>
        <s v="Chicken Salad Chick"/>
        <s v="Paris Baguette"/>
        <s v="Eat'n Park"/>
        <s v="Hurricane Grill &amp; Wings"/>
        <s v="The Old Spaghetti Factory"/>
        <s v="Taziki's Mediterranean Cafe"/>
        <s v="Menchie's Frozen Yogurt"/>
        <s v="Bruegger's Bagels"/>
        <s v="Tijuana Flats"/>
        <s v="Duffy's Sports Grill"/>
        <s v="Eddie V's Prime Seafood"/>
        <s v="Topgolf"/>
        <s v="Ocean Prime"/>
        <s v="Pappasito's Cantina"/>
        <s v="Pollo Campero"/>
        <s v="Houlihan's"/>
        <s v="Old Country Buffet/HomeTown Buffet"/>
        <s v="Great American Cookies"/>
        <s v="Nobu"/>
        <s v="BurgerFi"/>
        <s v="Mission BBQ"/>
        <s v="Walk-On's Sports Bistreaux"/>
        <s v="The Coffee Bean &amp; Tea Leaf"/>
        <s v="Yogurtland"/>
        <s v="Daylight Donuts"/>
        <s v="WaBa Grill"/>
        <s v="54th Street Restaurant &amp; Drafthouse"/>
        <s v="Biggby Coffee"/>
        <s v="Costa Vida Fresh Mexican Grill"/>
        <s v="L&amp;L Hawaiian Barbecue"/>
        <s v="Gyu-Kaku"/>
        <s v="Rainforest Cafe"/>
        <s v="PDQ"/>
        <s v="Lupe Tortilla"/>
        <s v="Cook-Out Restaurant"/>
        <s v="Jollibee"/>
      </sharedItems>
    </cacheField>
    <cacheField name="Sales (MM)" numFmtId="43">
      <sharedItems containsSemiMixedTypes="0" containsString="0" containsNumber="1" containsInteger="1" minValue="126" maxValue="40412"/>
    </cacheField>
    <cacheField name="YOY_Sales (%)" numFmtId="43">
      <sharedItems containsSemiMixedTypes="0" containsString="0" containsNumber="1" minValue="-21.2" maxValue="39.5"/>
    </cacheField>
    <cacheField name="Units" numFmtId="0">
      <sharedItems containsSemiMixedTypes="0" containsString="0" containsNumber="1" containsInteger="1" minValue="13" maxValue="23801"/>
    </cacheField>
    <cacheField name="YOY_Units(%)" numFmtId="2">
      <sharedItems containsSemiMixedTypes="0" containsString="0" containsNumber="1" minValue="-32.799999999999997" maxValue="38.5"/>
    </cacheField>
    <cacheField name="Segment_Category" numFmtId="0">
      <sharedItems count="48">
        <s v="Quick Service &amp; Burger"/>
        <s v="Quick Service &amp; Coffee Cafe"/>
        <s v="Quick Service &amp; Chicken"/>
        <s v="Quick Service &amp; Mexican"/>
        <s v="Quick Service &amp; Sandwich"/>
        <s v="Quick Service &amp; Pizza"/>
        <s v="Fast Casual &amp; Bakery Cafe"/>
        <s v="Fast Casual &amp; Mexican"/>
        <s v="Casual Dining &amp; Italian/Pizza"/>
        <s v="Casual Dining &amp; Varied Menu"/>
        <s v="Fast Casual &amp; Asian/Noodle"/>
        <s v="Quick Service &amp; Frozen Desserts"/>
        <s v="Casual Dining &amp; Sports Bar"/>
        <s v="Family Dining &amp; Family Style"/>
        <s v="Casual Dining &amp; Steak"/>
        <s v="Casual Dining &amp; Seafood"/>
        <s v="Fast Casual &amp; Sandwich"/>
        <s v="Fast Casual &amp; Chicken"/>
        <s v="Quick Service &amp; Family Casual"/>
        <s v="Fast Casual &amp; Burger"/>
        <s v="Casual Dining &amp; Asian"/>
        <s v="Quick Service &amp; Snack"/>
        <s v="Steak"/>
        <s v="Quick Service &amp; Beverage"/>
        <s v="Sports Bar"/>
        <s v="Quick Service &amp; Seafood"/>
        <s v="Quick Service &amp; Bakery Cafe"/>
        <s v="Fast Casual &amp; Pizza"/>
        <s v="Fine Dining &amp; Steak"/>
        <s v="Mexican"/>
        <s v="Varied Menu"/>
        <s v="Chicken"/>
        <s v="Italian/Pizza"/>
        <s v="Pizza"/>
        <s v="Seafood"/>
        <s v="Frozen Desserts"/>
        <s v="Coffee Cafe"/>
        <s v="BBQ"/>
        <s v="Sandwich"/>
        <s v="Bakery Cafe"/>
        <s v="Burger"/>
        <s v="Asian"/>
        <s v="Family Style"/>
        <s v="Asian/Noodle"/>
        <s v="Family Casual"/>
        <s v="Snack"/>
        <s v="Healthy"/>
        <s v="Ethnic"/>
      </sharedItems>
    </cacheField>
    <cacheField name="Sales2018 (MM)" numFmtId="43">
      <sharedItems containsSemiMixedTypes="0" containsString="0" containsNumber="1" minValue="104.06885758998435" maxValue="38524.308865586274"/>
    </cacheField>
    <cacheField name="Units2018" numFmtId="1">
      <sharedItems containsSemiMixedTypes="0" containsString="0" containsNumber="1" minValue="13" maxValue="24792.708333333332"/>
    </cacheField>
    <cacheField name="Sales/Unit (MM)" numFmtId="2">
      <sharedItems containsSemiMixedTypes="0" containsString="0" containsNumber="1" minValue="0.21025104602510461" maxValue="13.444444444444445" count="250">
        <n v="2.9186768741874909"/>
        <n v="1.4206924048109508"/>
        <n v="4.5829959514170042"/>
        <n v="1.6690806976056753"/>
        <n v="1.3890552681731554"/>
        <n v="0.42855342212512082"/>
        <n v="1.6681476418318524"/>
        <n v="0.95825545171339566"/>
        <n v="1.1498530852105779"/>
        <n v="2.7268518518518516"/>
        <n v="0.76074459348480705"/>
        <n v="2.1319659442724457"/>
        <n v="1.3292682926829269"/>
        <n v="1.1183271832718327"/>
        <n v="4.9503464203233261"/>
        <n v="2.4534534534534536"/>
        <n v="1.7863286555002262"/>
        <n v="1.1562965168204822"/>
        <n v="1.5395799676898223"/>
        <n v="0.89945716308708989"/>
        <n v="0.85825154074412235"/>
        <n v="3.0422885572139302"/>
        <n v="2.8687600644122382"/>
        <n v="1.5621934908604547"/>
        <n v="1.9099415204678363"/>
        <n v="5.4538878842676315"/>
        <n v="1.727214377406932"/>
        <n v="0.83959261616804581"/>
        <n v="3.6395027624309391"/>
        <n v="3.0795180722891566"/>
        <n v="3.6671575846833577"/>
        <n v="3.7606060606060607"/>
        <n v="10.58252427184466"/>
        <n v="0.75529242913527095"/>
        <n v="1.1098901098901099"/>
        <n v="2.0725274725274727"/>
        <n v="3.5226415094339623"/>
        <n v="2.4521857923497268"/>
        <n v="3.6149068322981366"/>
        <n v="1.2141812865497077"/>
        <n v="2.7841726618705036"/>
        <n v="3.2078774617067833"/>
        <n v="1.2995433789954338"/>
        <n v="1.1072298943948009"/>
        <n v="0.68606431852986216"/>
        <n v="0.80383923215356934"/>
        <n v="1.7841823056300268"/>
        <n v="5.5817307692307692"/>
        <n v="2.8181818181818183"/>
        <n v="2.7264957264957266"/>
        <n v="1.6493055555555556"/>
        <n v="4.1493212669683261"/>
        <n v="1.2342465753424658"/>
        <n v="1.8547717842323652"/>
        <n v="2.4368131868131866"/>
        <n v="2.5161290322580645"/>
        <n v="1.4261744966442953"/>
        <n v="0.7203463203463204"/>
        <n v="1.6459627329192548"/>
        <n v="1.026027397260274"/>
        <n v="0.56282919488337091"/>
        <n v="1.6208425720620843"/>
        <n v="1.576086956521739"/>
        <n v="4.137142857142857"/>
        <n v="0.69379844961240311"/>
        <n v="0.99860139860139863"/>
        <n v="5.2074074074074073"/>
        <n v="2.902222222222222"/>
        <n v="2.2862190812720846"/>
        <n v="0.6863387978142077"/>
        <n v="3.5953757225433525"/>
        <n v="3.120603015075377"/>
        <n v="0.24366085578446911"/>
        <n v="7.7088607594936711"/>
        <n v="2.9796954314720812"/>
        <n v="1.5606469002695418"/>
        <n v="0.69064748201438853"/>
        <n v="4.3257575757575761"/>
        <n v="1.5365853658536586"/>
        <n v="1.038888888888889"/>
        <n v="0.43400621118012422"/>
        <n v="1.5163043478260869"/>
        <n v="1.7508090614886731"/>
        <n v="1.4538043478260869"/>
        <n v="0.91609589041095896"/>
        <n v="1.1663019693654266"/>
        <n v="0.72816901408450707"/>
        <n v="0.6701434159061278"/>
        <n v="8.1451612903225801"/>
        <n v="1.2846153846153847"/>
        <n v="1.8315018315018314"/>
        <n v="2.4313725490196076"/>
        <n v="1.0342612419700214"/>
        <n v="0.47530864197530864"/>
        <n v="2.46524064171123"/>
        <n v="7.9482758620689653"/>
        <n v="1.0344827586206897"/>
        <n v="4.5510204081632653"/>
        <n v="0.94692144373673037"/>
        <n v="0.81750465549348228"/>
        <n v="0.80555555555555558"/>
        <n v="4.26"/>
        <n v="2.1734693877551021"/>
        <n v="2.4425287356321839"/>
        <n v="7.867924528301887"/>
        <n v="0.97619047619047616"/>
        <n v="0.47529411764705881"/>
        <n v="4.5681818181818183"/>
        <n v="0.70949720670391059"/>
        <n v="0.96382428940568476"/>
        <n v="6.3793103448275863"/>
        <n v="0.4122905027932961"/>
        <n v="1.1693290734824282"/>
        <n v="0.84397163120567376"/>
        <n v="0.70221327967806846"/>
        <n v="1.359375"/>
        <n v="1.9885714285714287"/>
        <n v="1.078616352201258"/>
        <n v="4.788732394366197"/>
        <n v="8.2439024390243905"/>
        <n v="1.7422680412371134"/>
        <n v="2.4347826086956523"/>
        <n v="3.9880952380952381"/>
        <n v="0.89812332439678288"/>
        <n v="0.86422976501305482"/>
        <n v="2.5703125"/>
        <n v="2.4044117647058822"/>
        <n v="7.5813953488372094"/>
        <n v="3"/>
        <n v="1.7103825136612021"/>
        <n v="1.808139534883721"/>
        <n v="4.5147058823529411"/>
        <n v="0.65948275862068961"/>
        <n v="1.6477272727272727"/>
        <n v="1.7"/>
        <n v="2.21875"/>
        <n v="1.2544642857142858"/>
        <n v="2.522935779816514"/>
        <n v="0.94827586206896552"/>
        <n v="3.7777777777777777"/>
        <n v="1.2688679245283019"/>
        <n v="6.7249999999999996"/>
        <n v="0.9537366548042705"/>
        <n v="1.7866666666666666"/>
        <n v="2.1190476190476191"/>
        <n v="4.2222222222222223"/>
        <n v="0.84935897435897434"/>
        <n v="0.80303030303030298"/>
        <n v="2.122950819672131"/>
        <n v="5.75"/>
        <n v="5.8604651162790695"/>
        <n v="2.6526315789473682"/>
        <n v="0.43936731107205623"/>
        <n v="0.72222222222222221"/>
        <n v="13.444444444444445"/>
        <n v="6.6388888888888893"/>
        <n v="1.1069767441860465"/>
        <n v="1.1776649746192893"/>
        <n v="6.6764705882352944"/>
        <n v="0.39478260869565218"/>
        <n v="1.8760330578512396"/>
        <n v="1.4802631578947369"/>
        <n v="0.72666666666666668"/>
        <n v="2.5647058823529414"/>
        <n v="3.807017543859649"/>
        <n v="5.916666666666667"/>
        <n v="2.1752577319587627"/>
        <n v="1.3125"/>
        <n v="12.8125"/>
        <n v="0.65686274509803921"/>
        <n v="0.21025104602510461"/>
        <n v="2.3058823529411763"/>
        <n v="5.7352941176470589"/>
        <n v="2.4683544303797467"/>
        <n v="0.51881720430107525"/>
        <n v="3.7647058823529411"/>
        <n v="2.0425531914893615"/>
        <n v="2.0319148936170213"/>
        <n v="5.9375"/>
        <n v="2.486842105263158"/>
        <n v="4.6749999999999998"/>
        <n v="1.2"/>
        <n v="1.3405797101449275"/>
        <n v="1.3120567375886525"/>
        <n v="1.803921568627451"/>
        <n v="0.99456521739130432"/>
        <n v="0.8418604651162791"/>
        <n v="6.7037037037037033"/>
        <n v="1.7238095238095239"/>
        <n v="1.924731182795699"/>
        <n v="1.084848484848485"/>
        <n v="1.4206349206349207"/>
        <n v="1.2275862068965517"/>
        <n v="5.0571428571428569"/>
        <n v="0.50141643059490082"/>
        <n v="2"/>
        <n v="2.4714285714285715"/>
        <n v="3.0892857142857144"/>
        <n v="2.2337662337662336"/>
        <n v="1.1176470588235294"/>
        <n v="2.4782608695652173"/>
        <n v="2.2666666666666666"/>
        <n v="4"/>
        <n v="2.7540983606557377"/>
        <n v="3.1320754716981134"/>
        <n v="2.4848484848484849"/>
        <n v="3.8809523809523809"/>
        <n v="0.89010989010989006"/>
        <n v="1.75"/>
        <n v="1.248062015503876"/>
        <n v="1.1118881118881119"/>
        <n v="4.4857142857142858"/>
        <n v="12.076923076923077"/>
        <n v="2.25"/>
        <n v="1.0625"/>
        <n v="1.8765432098765431"/>
        <n v="2.4126984126984126"/>
        <n v="2.6964285714285716"/>
        <n v="3.5714285714285716"/>
        <n v="1.6021505376344085"/>
        <n v="0.35817307692307693"/>
        <n v="0.70476190476190481"/>
        <n v="1.0575539568345325"/>
        <n v="4.2352941176470589"/>
        <n v="6.8571428571428568"/>
        <n v="2.6666666666666665"/>
        <n v="9"/>
        <n v="5.72"/>
        <n v="1.8333333333333333"/>
        <n v="3.1777777777777776"/>
        <n v="2.8979591836734695"/>
        <n v="0.3858695652173913"/>
        <n v="8.1764705882352935"/>
        <n v="1.2321428571428572"/>
        <n v="1.5111111111111111"/>
        <n v="4.0303030303030303"/>
        <n v="0.47163120567375888"/>
        <n v="0.4943820224719101"/>
        <n v="0.3180722891566265"/>
        <n v="0.69109947643979053"/>
        <n v="4.225806451612903"/>
        <n v="0.53749999999999998"/>
        <n v="1.3870967741935485"/>
        <n v="0.66153846153846152"/>
        <n v="2.4807692307692308"/>
        <n v="7.166666666666667"/>
        <n v="2.2678571428571428"/>
        <n v="5.08"/>
        <n v="0.46666666666666667"/>
        <n v="3.15"/>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0">
  <r>
    <n v="1"/>
    <x v="0"/>
    <n v="40412"/>
    <n v="4.9000000000000004"/>
    <n v="13846"/>
    <n v="-0.5"/>
    <x v="0"/>
    <n v="38524.308865586274"/>
    <n v="13915.577889447237"/>
    <x v="0"/>
  </r>
  <r>
    <n v="2"/>
    <x v="1"/>
    <n v="21380"/>
    <n v="8.6"/>
    <n v="15049"/>
    <n v="3"/>
    <x v="1"/>
    <n v="19686.924493554328"/>
    <n v="14610.679611650485"/>
    <x v="1"/>
  </r>
  <r>
    <n v="3"/>
    <x v="2"/>
    <n v="11320"/>
    <n v="13"/>
    <n v="2470"/>
    <n v="5"/>
    <x v="2"/>
    <n v="10017.699115044248"/>
    <n v="2352.3809523809523"/>
    <x v="2"/>
  </r>
  <r>
    <n v="4"/>
    <x v="3"/>
    <n v="11293"/>
    <n v="9"/>
    <n v="6766"/>
    <n v="2.7"/>
    <x v="3"/>
    <n v="10360.550458715596"/>
    <n v="6588.1207400194744"/>
    <x v="3"/>
  </r>
  <r>
    <n v="5"/>
    <x v="4"/>
    <n v="10204"/>
    <n v="2.7"/>
    <n v="7346"/>
    <n v="0.2"/>
    <x v="0"/>
    <n v="9935.7351509250238"/>
    <n v="7331.337325349301"/>
    <x v="4"/>
  </r>
  <r>
    <n v="6"/>
    <x v="5"/>
    <n v="10200"/>
    <n v="-2"/>
    <n v="23801"/>
    <n v="-4"/>
    <x v="4"/>
    <n v="10408.163265306122"/>
    <n v="24792.708333333332"/>
    <x v="5"/>
  </r>
  <r>
    <n v="7"/>
    <x v="6"/>
    <n v="9762"/>
    <n v="4.2"/>
    <n v="5852"/>
    <n v="0.7"/>
    <x v="0"/>
    <n v="9368.5220729366611"/>
    <n v="5811.3207547169814"/>
    <x v="6"/>
  </r>
  <r>
    <n v="8"/>
    <x v="7"/>
    <n v="9228"/>
    <n v="5"/>
    <n v="9630"/>
    <n v="2.2000000000000002"/>
    <x v="1"/>
    <n v="8788.5714285714294"/>
    <n v="9422.7005870841476"/>
    <x v="7"/>
  </r>
  <r>
    <n v="9"/>
    <x v="8"/>
    <n v="7044"/>
    <n v="6.9"/>
    <n v="6126"/>
    <n v="4.3"/>
    <x v="5"/>
    <n v="6589.335827876519"/>
    <n v="5873.4419942473633"/>
    <x v="8"/>
  </r>
  <r>
    <n v="10"/>
    <x v="9"/>
    <n v="5890"/>
    <n v="4"/>
    <n v="2160"/>
    <n v="3.2"/>
    <x v="6"/>
    <n v="5663.461538461539"/>
    <n v="2093.0232558139533"/>
    <x v="9"/>
  </r>
  <r>
    <n v="11"/>
    <x v="10"/>
    <n v="5558"/>
    <n v="0.6"/>
    <n v="7306"/>
    <n v="-2.4"/>
    <x v="5"/>
    <n v="5524.8508946322072"/>
    <n v="7485.6557377049185"/>
    <x v="10"/>
  </r>
  <r>
    <n v="12"/>
    <x v="11"/>
    <n v="5509"/>
    <n v="14.8"/>
    <n v="2584"/>
    <n v="5.3"/>
    <x v="7"/>
    <n v="4798.7804878048782"/>
    <n v="2453.9411206077875"/>
    <x v="11"/>
  </r>
  <r>
    <n v="13"/>
    <x v="12"/>
    <n v="4687"/>
    <n v="4.5999999999999996"/>
    <n v="3526"/>
    <n v="-2.1"/>
    <x v="0"/>
    <n v="4480.8795411089868"/>
    <n v="3601.6343207354439"/>
    <x v="12"/>
  </r>
  <r>
    <n v="14"/>
    <x v="13"/>
    <n v="4546"/>
    <n v="2.5"/>
    <n v="4065"/>
    <n v="-0.2"/>
    <x v="2"/>
    <n v="4435.1219512195121"/>
    <n v="4073.1462925851706"/>
    <x v="13"/>
  </r>
  <r>
    <n v="15"/>
    <x v="14"/>
    <n v="4287"/>
    <n v="5"/>
    <n v="866"/>
    <n v="1.3"/>
    <x v="8"/>
    <n v="4082.8571428571431"/>
    <n v="854.88647581441262"/>
    <x v="14"/>
  </r>
  <r>
    <n v="16"/>
    <x v="15"/>
    <n v="4085"/>
    <n v="-3"/>
    <n v="1665"/>
    <n v="-1.7"/>
    <x v="9"/>
    <n v="4211.3402061855677"/>
    <n v="1693.7945066124109"/>
    <x v="15"/>
  </r>
  <r>
    <n v="17"/>
    <x v="16"/>
    <n v="3946"/>
    <n v="12"/>
    <n v="2209"/>
    <n v="4.9000000000000004"/>
    <x v="10"/>
    <n v="3523.2142857142853"/>
    <n v="2105.815061963775"/>
    <x v="16"/>
  </r>
  <r>
    <n v="18"/>
    <x v="17"/>
    <n v="3884"/>
    <n v="1.9"/>
    <n v="3359"/>
    <n v="0.9"/>
    <x v="4"/>
    <n v="3811.5799803729146"/>
    <n v="3329.0386521308224"/>
    <x v="17"/>
  </r>
  <r>
    <n v="19"/>
    <x v="18"/>
    <n v="3812"/>
    <n v="18.3"/>
    <n v="2476"/>
    <n v="5.5"/>
    <x v="2"/>
    <n v="3222.3161453930688"/>
    <n v="2346.9194312796208"/>
    <x v="18"/>
  </r>
  <r>
    <n v="20"/>
    <x v="19"/>
    <n v="3811"/>
    <n v="2.7"/>
    <n v="4237"/>
    <n v="-0.6"/>
    <x v="5"/>
    <n v="3710.8081791626091"/>
    <n v="4262.5754527162971"/>
    <x v="19"/>
  </r>
  <r>
    <n v="21"/>
    <x v="20"/>
    <n v="3760"/>
    <n v="2.9"/>
    <n v="4381"/>
    <n v="-0.6"/>
    <x v="11"/>
    <n v="3654.0330417881437"/>
    <n v="4407.4446680080482"/>
    <x v="20"/>
  </r>
  <r>
    <n v="22"/>
    <x v="21"/>
    <n v="3669"/>
    <n v="-0.1"/>
    <n v="1206"/>
    <n v="-0.2"/>
    <x v="12"/>
    <n v="3672.6726726726724"/>
    <n v="1208.4168336673347"/>
    <x v="21"/>
  </r>
  <r>
    <n v="23"/>
    <x v="22"/>
    <n v="3563"/>
    <n v="2.2000000000000002"/>
    <n v="1242"/>
    <n v="-0.7"/>
    <x v="9"/>
    <n v="3486.3013698630134"/>
    <n v="1250.7552870090635"/>
    <x v="22"/>
  </r>
  <r>
    <n v="24"/>
    <x v="23"/>
    <n v="3504"/>
    <n v="1.1000000000000001"/>
    <n v="2243"/>
    <n v="0.3"/>
    <x v="0"/>
    <n v="3465.8753709198813"/>
    <n v="2236.2911266201395"/>
    <x v="23"/>
  </r>
  <r>
    <n v="25"/>
    <x v="24"/>
    <n v="3266"/>
    <n v="2"/>
    <n v="1710"/>
    <n v="0.3"/>
    <x v="13"/>
    <n v="3201.960784313726"/>
    <n v="1704.8853439680959"/>
    <x v="24"/>
  </r>
  <r>
    <n v="26"/>
    <x v="25"/>
    <n v="3016"/>
    <n v="11"/>
    <n v="553"/>
    <n v="3.8"/>
    <x v="14"/>
    <n v="2717.1171171171172"/>
    <n v="532.75529865125247"/>
    <x v="25"/>
  </r>
  <r>
    <n v="27"/>
    <x v="26"/>
    <n v="2691"/>
    <n v="1.1000000000000001"/>
    <n v="1558"/>
    <n v="-1.5"/>
    <x v="13"/>
    <n v="2661.7210682492582"/>
    <n v="1581.725888324873"/>
    <x v="26"/>
  </r>
  <r>
    <n v="28"/>
    <x v="27"/>
    <n v="2638"/>
    <n v="-2.7"/>
    <n v="3142"/>
    <n v="-1.8"/>
    <x v="5"/>
    <n v="2711.2024665981503"/>
    <n v="3199.5926680244397"/>
    <x v="27"/>
  </r>
  <r>
    <n v="29"/>
    <x v="28"/>
    <n v="2635"/>
    <n v="0.9"/>
    <n v="724"/>
    <n v="-1.2"/>
    <x v="14"/>
    <n v="2611.4965312190284"/>
    <n v="732.79352226720653"/>
    <x v="28"/>
  </r>
  <r>
    <n v="30"/>
    <x v="29"/>
    <n v="2556"/>
    <n v="5.8"/>
    <n v="830"/>
    <n v="0.6"/>
    <x v="0"/>
    <n v="2415.8790170132329"/>
    <n v="825.04970178926442"/>
    <x v="29"/>
  </r>
  <r>
    <n v="31"/>
    <x v="30"/>
    <n v="2490"/>
    <n v="1.6"/>
    <n v="679"/>
    <n v="0.1"/>
    <x v="15"/>
    <n v="2450.7874015748034"/>
    <n v="678.32167832167841"/>
    <x v="30"/>
  </r>
  <r>
    <n v="32"/>
    <x v="31"/>
    <n v="2482"/>
    <n v="1.8"/>
    <n v="660"/>
    <n v="0.8"/>
    <x v="13"/>
    <n v="2438.1139489194497"/>
    <n v="654.76190476190482"/>
    <x v="31"/>
  </r>
  <r>
    <n v="33"/>
    <x v="32"/>
    <n v="2180"/>
    <n v="2.5"/>
    <n v="206"/>
    <n v="2.5"/>
    <x v="9"/>
    <n v="2126.8292682926831"/>
    <n v="200.97560975609755"/>
    <x v="32"/>
  </r>
  <r>
    <n v="34"/>
    <x v="33"/>
    <n v="2105"/>
    <n v="-1.6"/>
    <n v="2787"/>
    <n v="-0.5"/>
    <x v="16"/>
    <n v="2139.2276422764226"/>
    <n v="2801.005025125628"/>
    <x v="33"/>
  </r>
  <r>
    <n v="35"/>
    <x v="34"/>
    <n v="2020"/>
    <n v="-4"/>
    <n v="1820"/>
    <n v="-1.4"/>
    <x v="0"/>
    <n v="2104.166666666667"/>
    <n v="1845.8417849898581"/>
    <x v="34"/>
  </r>
  <r>
    <n v="36"/>
    <x v="35"/>
    <n v="1886"/>
    <n v="6"/>
    <n v="910"/>
    <n v="1.3"/>
    <x v="17"/>
    <n v="1779.2452830188679"/>
    <n v="898.32181638696943"/>
    <x v="35"/>
  </r>
  <r>
    <n v="37"/>
    <x v="36"/>
    <n v="1867"/>
    <n v="6.3"/>
    <n v="530"/>
    <n v="1.9"/>
    <x v="14"/>
    <n v="1756.3499529633114"/>
    <n v="520.11776251226695"/>
    <x v="36"/>
  </r>
  <r>
    <n v="38"/>
    <x v="37"/>
    <n v="1795"/>
    <n v="13.9"/>
    <n v="732"/>
    <n v="6.7"/>
    <x v="0"/>
    <n v="1575.9438103599648"/>
    <n v="686.03561387066543"/>
    <x v="37"/>
  </r>
  <r>
    <n v="39"/>
    <x v="38"/>
    <n v="1746"/>
    <n v="0.8"/>
    <n v="483"/>
    <n v="-1.2"/>
    <x v="18"/>
    <n v="1732.1428571428573"/>
    <n v="488.86639676113361"/>
    <x v="38"/>
  </r>
  <r>
    <n v="40"/>
    <x v="39"/>
    <n v="1661"/>
    <n v="7.4"/>
    <n v="1368"/>
    <n v="0.7"/>
    <x v="19"/>
    <n v="1546.5549348230911"/>
    <n v="1358.4905660377358"/>
    <x v="39"/>
  </r>
  <r>
    <n v="41"/>
    <x v="40"/>
    <n v="1548"/>
    <n v="-0.3"/>
    <n v="556"/>
    <n v="-3"/>
    <x v="9"/>
    <n v="1552.6579739217652"/>
    <n v="573.19587628865975"/>
    <x v="40"/>
  </r>
  <r>
    <n v="42"/>
    <x v="41"/>
    <n v="1466"/>
    <n v="23.8"/>
    <n v="457"/>
    <n v="14.3"/>
    <x v="17"/>
    <n v="1184.168012924071"/>
    <n v="399.82502187226595"/>
    <x v="41"/>
  </r>
  <r>
    <n v="43"/>
    <x v="42"/>
    <n v="1423"/>
    <n v="-2.5"/>
    <n v="1095"/>
    <n v="-2.2999999999999998"/>
    <x v="0"/>
    <n v="1459.4871794871794"/>
    <n v="1120.7778915046058"/>
    <x v="42"/>
  </r>
  <r>
    <n v="44"/>
    <x v="43"/>
    <n v="1363"/>
    <n v="19"/>
    <n v="1231"/>
    <n v="9.5"/>
    <x v="17"/>
    <n v="1145.3781512605042"/>
    <n v="1124.2009132420092"/>
    <x v="43"/>
  </r>
  <r>
    <n v="45"/>
    <x v="44"/>
    <n v="1344"/>
    <n v="3.4"/>
    <n v="1959"/>
    <n v="1.2"/>
    <x v="13"/>
    <n v="1299.8065764023208"/>
    <n v="1935.7707509881423"/>
    <x v="44"/>
  </r>
  <r>
    <n v="46"/>
    <x v="45"/>
    <n v="1340"/>
    <n v="16.7"/>
    <n v="1667"/>
    <n v="11.6"/>
    <x v="16"/>
    <n v="1148.2433590402743"/>
    <n v="1493.7275985663084"/>
    <x v="45"/>
  </r>
  <r>
    <n v="47"/>
    <x v="46"/>
    <n v="1331"/>
    <n v="2.7"/>
    <n v="746"/>
    <n v="-1.3"/>
    <x v="2"/>
    <n v="1296.0077896786756"/>
    <n v="755.82573454913882"/>
    <x v="46"/>
  </r>
  <r>
    <n v="48"/>
    <x v="47"/>
    <n v="1161"/>
    <n v="4"/>
    <n v="208"/>
    <n v="3"/>
    <x v="9"/>
    <n v="1116.3461538461538"/>
    <n v="201.94174757281553"/>
    <x v="47"/>
  </r>
  <r>
    <n v="49"/>
    <x v="48"/>
    <n v="1085"/>
    <n v="-8.5"/>
    <n v="385"/>
    <n v="-7.9"/>
    <x v="9"/>
    <n v="1185.7923497267759"/>
    <n v="418.02388707926173"/>
    <x v="48"/>
  </r>
  <r>
    <n v="50"/>
    <x v="49"/>
    <n v="957"/>
    <n v="4.5999999999999996"/>
    <n v="351"/>
    <n v="3.5"/>
    <x v="0"/>
    <n v="914.91395793499044"/>
    <n v="339.13043478260869"/>
    <x v="49"/>
  </r>
  <r>
    <n v="51"/>
    <x v="50"/>
    <n v="950"/>
    <n v="-7.7"/>
    <n v="576"/>
    <n v="-3"/>
    <x v="0"/>
    <n v="1029.252437703142"/>
    <n v="593.81443298969077"/>
    <x v="50"/>
  </r>
  <r>
    <n v="52"/>
    <x v="51"/>
    <n v="917"/>
    <n v="1.4"/>
    <n v="221"/>
    <n v="0"/>
    <x v="20"/>
    <n v="904.33925049309653"/>
    <n v="221"/>
    <x v="51"/>
  </r>
  <r>
    <n v="53"/>
    <x v="52"/>
    <n v="901"/>
    <n v="5.9"/>
    <n v="730"/>
    <n v="-2.9"/>
    <x v="7"/>
    <n v="850.80264400377712"/>
    <n v="751.80226570545835"/>
    <x v="52"/>
  </r>
  <r>
    <n v="54"/>
    <x v="53"/>
    <n v="894"/>
    <n v="3"/>
    <n v="482"/>
    <n v="-0.4"/>
    <x v="2"/>
    <n v="867.96116504854376"/>
    <n v="483.93574297188758"/>
    <x v="53"/>
  </r>
  <r>
    <n v="55"/>
    <x v="54"/>
    <n v="887"/>
    <n v="4.4000000000000004"/>
    <n v="364"/>
    <n v="4"/>
    <x v="21"/>
    <n v="849.61685823754783"/>
    <n v="350"/>
    <x v="54"/>
  </r>
  <r>
    <n v="56"/>
    <x v="55"/>
    <n v="858"/>
    <n v="0.4"/>
    <n v="341"/>
    <n v="0"/>
    <x v="12"/>
    <n v="854.58167330677293"/>
    <n v="341"/>
    <x v="55"/>
  </r>
  <r>
    <n v="57"/>
    <x v="56"/>
    <n v="850"/>
    <n v="4"/>
    <n v="596"/>
    <n v="2.8"/>
    <x v="3"/>
    <n v="817.30769230769238"/>
    <n v="579.76653696498056"/>
    <x v="56"/>
  </r>
  <r>
    <n v="58"/>
    <x v="57"/>
    <n v="832"/>
    <n v="4.8"/>
    <n v="1155"/>
    <n v="1.9"/>
    <x v="16"/>
    <n v="793.89312977099235"/>
    <n v="1133.4641805691854"/>
    <x v="57"/>
  </r>
  <r>
    <n v="59"/>
    <x v="58"/>
    <n v="795"/>
    <n v="-4.2"/>
    <n v="483"/>
    <n v="-1.4"/>
    <x v="13"/>
    <n v="829.85386221294368"/>
    <n v="489.85801217038545"/>
    <x v="58"/>
  </r>
  <r>
    <n v="60"/>
    <x v="59"/>
    <n v="749"/>
    <n v="2"/>
    <n v="730"/>
    <n v="1.5"/>
    <x v="7"/>
    <n v="734.31372549019602"/>
    <n v="719.21182266009851"/>
    <x v="59"/>
  </r>
  <r>
    <n v="61"/>
    <x v="60"/>
    <n v="748"/>
    <n v="-5.9"/>
    <n v="1329"/>
    <n v="-5.0999999999999996"/>
    <x v="5"/>
    <n v="794.89904357066962"/>
    <n v="1400.4214963119073"/>
    <x v="60"/>
  </r>
  <r>
    <n v="62"/>
    <x v="61"/>
    <n v="731"/>
    <n v="-11.4"/>
    <n v="451"/>
    <n v="-8.1"/>
    <x v="9"/>
    <n v="825.05643340857796"/>
    <n v="490.75081610446136"/>
    <x v="61"/>
  </r>
  <r>
    <n v="63"/>
    <x v="62"/>
    <n v="725"/>
    <n v="7"/>
    <n v="460"/>
    <n v="3.6"/>
    <x v="16"/>
    <n v="677.57009345794393"/>
    <n v="444.01544401544402"/>
    <x v="62"/>
  </r>
  <r>
    <n v="64"/>
    <x v="63"/>
    <n v="724"/>
    <n v="0.6"/>
    <n v="175"/>
    <n v="2.9"/>
    <x v="9"/>
    <n v="719.68190854870784"/>
    <n v="170.06802721088434"/>
    <x v="63"/>
  </r>
  <r>
    <n v="65"/>
    <x v="64"/>
    <n v="716"/>
    <n v="-5.2"/>
    <n v="1032"/>
    <n v="-5"/>
    <x v="2"/>
    <n v="755.27426160337563"/>
    <n v="1086.3157894736842"/>
    <x v="64"/>
  </r>
  <r>
    <n v="66"/>
    <x v="65"/>
    <n v="714"/>
    <n v="-3.5"/>
    <n v="715"/>
    <n v="-1.7"/>
    <x v="1"/>
    <n v="739.89637305699478"/>
    <n v="727.36520854526964"/>
    <x v="65"/>
  </r>
  <r>
    <n v="67"/>
    <x v="66"/>
    <n v="703"/>
    <n v="1.6"/>
    <n v="135"/>
    <n v="1.5"/>
    <x v="22"/>
    <n v="691.92913385826773"/>
    <n v="133.00492610837438"/>
    <x v="66"/>
  </r>
  <r>
    <n v="68"/>
    <x v="67"/>
    <n v="653"/>
    <n v="-1"/>
    <n v="225"/>
    <n v="-0.9"/>
    <x v="8"/>
    <n v="659.59595959595958"/>
    <n v="227.04339051463171"/>
    <x v="67"/>
  </r>
  <r>
    <n v="69"/>
    <x v="68"/>
    <n v="647"/>
    <n v="-1.1000000000000001"/>
    <n v="283"/>
    <n v="1.8"/>
    <x v="16"/>
    <n v="654.19615773508588"/>
    <n v="277.99607072691555"/>
    <x v="68"/>
  </r>
  <r>
    <n v="70"/>
    <x v="69"/>
    <n v="628"/>
    <n v="4.8"/>
    <n v="915"/>
    <n v="3.6"/>
    <x v="5"/>
    <n v="599.23664122137416"/>
    <n v="883.2046332046333"/>
    <x v="69"/>
  </r>
  <r>
    <n v="71"/>
    <x v="70"/>
    <n v="622"/>
    <n v="31.8"/>
    <n v="173"/>
    <n v="27.2"/>
    <x v="19"/>
    <n v="471.92716236722305"/>
    <n v="136.00628930817609"/>
    <x v="70"/>
  </r>
  <r>
    <n v="72"/>
    <x v="71"/>
    <n v="621"/>
    <n v="-3.3"/>
    <n v="199"/>
    <n v="-0.5"/>
    <x v="8"/>
    <n v="642.19234746639086"/>
    <n v="200"/>
    <x v="71"/>
  </r>
  <r>
    <n v="73"/>
    <x v="72"/>
    <n v="615"/>
    <n v="0.6"/>
    <n v="2524"/>
    <n v="-1"/>
    <x v="11"/>
    <n v="611.33200795228629"/>
    <n v="2549.4949494949497"/>
    <x v="72"/>
  </r>
  <r>
    <n v="74"/>
    <x v="73"/>
    <n v="609"/>
    <n v="6.6"/>
    <n v="79"/>
    <n v="9.6999999999999993"/>
    <x v="9"/>
    <n v="571.29455909943715"/>
    <n v="72.014585232452134"/>
    <x v="73"/>
  </r>
  <r>
    <n v="75"/>
    <x v="74"/>
    <n v="587"/>
    <n v="-0.9"/>
    <n v="197"/>
    <n v="0"/>
    <x v="15"/>
    <n v="592.33097880928358"/>
    <n v="197"/>
    <x v="74"/>
  </r>
  <r>
    <n v="76"/>
    <x v="75"/>
    <n v="579"/>
    <n v="2.4"/>
    <n v="371"/>
    <n v="-0.5"/>
    <x v="0"/>
    <n v="565.4296875"/>
    <n v="372.8643216080402"/>
    <x v="75"/>
  </r>
  <r>
    <n v="77"/>
    <x v="76"/>
    <n v="576"/>
    <n v="21.8"/>
    <n v="834"/>
    <n v="16"/>
    <x v="23"/>
    <n v="472.90640394088672"/>
    <n v="718.9655172413793"/>
    <x v="76"/>
  </r>
  <r>
    <n v="78"/>
    <x v="77"/>
    <n v="571"/>
    <n v="6.5"/>
    <n v="132"/>
    <n v="10.9"/>
    <x v="24"/>
    <n v="536.15023474178406"/>
    <n v="119.02614968440035"/>
    <x v="77"/>
  </r>
  <r>
    <n v="79"/>
    <x v="78"/>
    <n v="567"/>
    <n v="15"/>
    <n v="369"/>
    <n v="13.2"/>
    <x v="1"/>
    <n v="493.04347826086962"/>
    <n v="325.97173144876325"/>
    <x v="78"/>
  </r>
  <r>
    <n v="80"/>
    <x v="79"/>
    <n v="561"/>
    <n v="3.1"/>
    <n v="540"/>
    <n v="2.1"/>
    <x v="25"/>
    <n v="544.13191076624639"/>
    <n v="528.8932419196866"/>
    <x v="79"/>
  </r>
  <r>
    <n v="81"/>
    <x v="80"/>
    <n v="559"/>
    <n v="0.2"/>
    <n v="1288"/>
    <n v="-0.5"/>
    <x v="21"/>
    <n v="557.88423153692611"/>
    <n v="1294.4723618090452"/>
    <x v="80"/>
  </r>
  <r>
    <n v="82"/>
    <x v="81"/>
    <n v="558"/>
    <n v="35.1"/>
    <n v="368"/>
    <n v="24.7"/>
    <x v="13"/>
    <n v="413.02738712065138"/>
    <n v="295.10825982357659"/>
    <x v="81"/>
  </r>
  <r>
    <n v="83"/>
    <x v="82"/>
    <n v="541"/>
    <n v="-9.5"/>
    <n v="309"/>
    <n v="-13"/>
    <x v="13"/>
    <n v="597.79005524861873"/>
    <n v="355.17241379310343"/>
    <x v="82"/>
  </r>
  <r>
    <n v="84"/>
    <x v="83"/>
    <n v="535"/>
    <n v="12.9"/>
    <n v="368"/>
    <n v="12.2"/>
    <x v="19"/>
    <n v="473.87068201948625"/>
    <n v="327.98573975044565"/>
    <x v="83"/>
  </r>
  <r>
    <n v="85"/>
    <x v="84"/>
    <n v="535"/>
    <n v="-1.8"/>
    <n v="584"/>
    <n v="-0.2"/>
    <x v="0"/>
    <n v="544.8065173116089"/>
    <n v="585.17034068136275"/>
    <x v="84"/>
  </r>
  <r>
    <n v="86"/>
    <x v="85"/>
    <n v="533"/>
    <n v="0.9"/>
    <n v="457"/>
    <n v="-0.4"/>
    <x v="10"/>
    <n v="528.2457879088206"/>
    <n v="458.83534136546189"/>
    <x v="85"/>
  </r>
  <r>
    <n v="87"/>
    <x v="86"/>
    <n v="517"/>
    <n v="-2.1"/>
    <n v="710"/>
    <n v="-2.6"/>
    <x v="26"/>
    <n v="528.08988764044943"/>
    <n v="728.95277207392189"/>
    <x v="86"/>
  </r>
  <r>
    <n v="88"/>
    <x v="87"/>
    <n v="514"/>
    <n v="0.8"/>
    <n v="767"/>
    <n v="-1.8"/>
    <x v="23"/>
    <n v="509.920634920635"/>
    <n v="781.05906313645619"/>
    <x v="87"/>
  </r>
  <r>
    <n v="89"/>
    <x v="88"/>
    <n v="505"/>
    <n v="12.2"/>
    <n v="62"/>
    <n v="8.8000000000000007"/>
    <x v="16"/>
    <n v="450.08912655971483"/>
    <n v="56.985294117647058"/>
    <x v="88"/>
  </r>
  <r>
    <n v="90"/>
    <x v="89"/>
    <n v="501"/>
    <n v="-9.9"/>
    <n v="390"/>
    <n v="-14.1"/>
    <x v="17"/>
    <n v="556.04883462819089"/>
    <n v="454.01629802095459"/>
    <x v="89"/>
  </r>
  <r>
    <n v="91"/>
    <x v="90"/>
    <n v="500"/>
    <n v="14.5"/>
    <n v="273"/>
    <n v="10.5"/>
    <x v="19"/>
    <n v="436.68122270742361"/>
    <n v="247.05882352941177"/>
    <x v="90"/>
  </r>
  <r>
    <n v="92"/>
    <x v="91"/>
    <n v="496"/>
    <n v="-3.7"/>
    <n v="204"/>
    <n v="-1"/>
    <x v="14"/>
    <n v="515.05711318795431"/>
    <n v="206.06060606060606"/>
    <x v="91"/>
  </r>
  <r>
    <n v="93"/>
    <x v="92"/>
    <n v="483"/>
    <n v="23.8"/>
    <n v="467"/>
    <n v="18.2"/>
    <x v="27"/>
    <n v="390.14539579967692"/>
    <n v="395.09306260575295"/>
    <x v="92"/>
  </r>
  <r>
    <n v="94"/>
    <x v="93"/>
    <n v="462"/>
    <n v="11.2"/>
    <n v="972"/>
    <n v="8"/>
    <x v="23"/>
    <n v="415.46762589928051"/>
    <n v="900"/>
    <x v="93"/>
  </r>
  <r>
    <n v="95"/>
    <x v="94"/>
    <n v="461"/>
    <n v="-0.3"/>
    <n v="187"/>
    <n v="-1.1000000000000001"/>
    <x v="8"/>
    <n v="462.38716148445337"/>
    <n v="189.07987866531849"/>
    <x v="94"/>
  </r>
  <r>
    <n v="96"/>
    <x v="95"/>
    <n v="461"/>
    <n v="4.7"/>
    <n v="58"/>
    <n v="0"/>
    <x v="28"/>
    <n v="440.30563514804203"/>
    <n v="58"/>
    <x v="95"/>
  </r>
  <r>
    <n v="97"/>
    <x v="96"/>
    <n v="450"/>
    <n v="1.3"/>
    <n v="435"/>
    <n v="0.7"/>
    <x v="5"/>
    <n v="444.22507403751234"/>
    <n v="431.97616683217478"/>
    <x v="96"/>
  </r>
  <r>
    <n v="98"/>
    <x v="97"/>
    <n v="446"/>
    <n v="10.199999999999999"/>
    <n v="98"/>
    <n v="11.4"/>
    <x v="12"/>
    <n v="404.71869328493648"/>
    <n v="87.971274685816866"/>
    <x v="97"/>
  </r>
  <r>
    <n v="99"/>
    <x v="98"/>
    <n v="446"/>
    <n v="-2.5"/>
    <n v="471"/>
    <n v="-1.5"/>
    <x v="4"/>
    <n v="457.4358974358974"/>
    <n v="478.17258883248729"/>
    <x v="98"/>
  </r>
  <r>
    <n v="100"/>
    <x v="99"/>
    <n v="439"/>
    <n v="7"/>
    <n v="537"/>
    <n v="-2.4"/>
    <x v="5"/>
    <n v="410.28037383177571"/>
    <n v="550.20491803278696"/>
    <x v="99"/>
  </r>
  <r>
    <n v="101"/>
    <x v="100"/>
    <n v="435"/>
    <n v="4.9000000000000004"/>
    <n v="540"/>
    <n v="2.2999999999999998"/>
    <x v="4"/>
    <n v="414.68064823641566"/>
    <n v="527.85923753665691"/>
    <x v="100"/>
  </r>
  <r>
    <n v="102"/>
    <x v="101"/>
    <n v="426"/>
    <n v="7.1"/>
    <n v="100"/>
    <n v="0"/>
    <x v="29"/>
    <n v="397.75910364145659"/>
    <n v="100"/>
    <x v="101"/>
  </r>
  <r>
    <n v="103"/>
    <x v="102"/>
    <n v="426"/>
    <n v="-7.6"/>
    <n v="196"/>
    <n v="-5.3"/>
    <x v="30"/>
    <n v="461.03896103896102"/>
    <n v="206.96937697993664"/>
    <x v="102"/>
  </r>
  <r>
    <n v="104"/>
    <x v="103"/>
    <n v="425"/>
    <n v="-2.1"/>
    <n v="174"/>
    <n v="3"/>
    <x v="31"/>
    <n v="434.11644535240043"/>
    <n v="168.93203883495147"/>
    <x v="103"/>
  </r>
  <r>
    <n v="105"/>
    <x v="104"/>
    <n v="417"/>
    <n v="1.1000000000000001"/>
    <n v="53"/>
    <n v="1.9"/>
    <x v="32"/>
    <n v="412.46290801186944"/>
    <n v="52.011776251226692"/>
    <x v="104"/>
  </r>
  <r>
    <n v="106"/>
    <x v="105"/>
    <n v="410"/>
    <n v="-1.4"/>
    <n v="420"/>
    <n v="0.7"/>
    <x v="33"/>
    <n v="415.82150101419882"/>
    <n v="417.08043694141014"/>
    <x v="105"/>
  </r>
  <r>
    <n v="107"/>
    <x v="106"/>
    <n v="404"/>
    <n v="-8.1999999999999993"/>
    <n v="850"/>
    <n v="-2.4"/>
    <x v="34"/>
    <n v="440.08714596949892"/>
    <n v="870.90163934426232"/>
    <x v="106"/>
  </r>
  <r>
    <n v="108"/>
    <x v="107"/>
    <n v="402"/>
    <n v="14.9"/>
    <n v="88"/>
    <n v="10"/>
    <x v="22"/>
    <n v="349.86945169712789"/>
    <n v="80"/>
    <x v="107"/>
  </r>
  <r>
    <n v="109"/>
    <x v="108"/>
    <n v="381"/>
    <n v="-0.5"/>
    <n v="537"/>
    <n v="1.3"/>
    <x v="33"/>
    <n v="382.9145728643216"/>
    <n v="530.10858835143142"/>
    <x v="108"/>
  </r>
  <r>
    <n v="110"/>
    <x v="109"/>
    <n v="373"/>
    <n v="0.5"/>
    <n v="387"/>
    <n v="-1.3"/>
    <x v="29"/>
    <n v="371.1442786069652"/>
    <n v="392.09726443768994"/>
    <x v="109"/>
  </r>
  <r>
    <n v="111"/>
    <x v="110"/>
    <n v="370"/>
    <n v="10.5"/>
    <n v="58"/>
    <n v="9.4"/>
    <x v="22"/>
    <n v="334.84162895927602"/>
    <n v="53.016453382084094"/>
    <x v="110"/>
  </r>
  <r>
    <n v="112"/>
    <x v="111"/>
    <n v="369"/>
    <n v="-2.2999999999999998"/>
    <n v="895"/>
    <n v="-0.9"/>
    <x v="35"/>
    <n v="377.68679631525077"/>
    <n v="903.1281533804239"/>
    <x v="111"/>
  </r>
  <r>
    <n v="113"/>
    <x v="112"/>
    <n v="366"/>
    <n v="12.4"/>
    <n v="313"/>
    <n v="5.7"/>
    <x v="33"/>
    <n v="325.62277580071168"/>
    <n v="296.12109744560075"/>
    <x v="112"/>
  </r>
  <r>
    <n v="114"/>
    <x v="113"/>
    <n v="357"/>
    <n v="4.3"/>
    <n v="423"/>
    <n v="2.2000000000000002"/>
    <x v="36"/>
    <n v="342.2818791946309"/>
    <n v="413.89432485322897"/>
    <x v="113"/>
  </r>
  <r>
    <n v="115"/>
    <x v="114"/>
    <n v="349"/>
    <n v="-9.1999999999999993"/>
    <n v="497"/>
    <n v="-6.4"/>
    <x v="37"/>
    <n v="384.36123348017622"/>
    <n v="530.982905982906"/>
    <x v="114"/>
  </r>
  <r>
    <n v="116"/>
    <x v="115"/>
    <n v="348"/>
    <n v="1.2"/>
    <n v="256"/>
    <n v="-1.5"/>
    <x v="38"/>
    <n v="343.87351778656125"/>
    <n v="259.89847715736039"/>
    <x v="115"/>
  </r>
  <r>
    <n v="117"/>
    <x v="116"/>
    <n v="348"/>
    <n v="-3.9"/>
    <n v="175"/>
    <n v="-3.8"/>
    <x v="39"/>
    <n v="362.1227887617066"/>
    <n v="181.9126819126819"/>
    <x v="116"/>
  </r>
  <r>
    <n v="118"/>
    <x v="117"/>
    <n v="343"/>
    <n v="-9"/>
    <n v="318"/>
    <n v="-10.7"/>
    <x v="40"/>
    <n v="376.92307692307691"/>
    <n v="356.10302351623739"/>
    <x v="117"/>
  </r>
  <r>
    <n v="119"/>
    <x v="118"/>
    <n v="340"/>
    <n v="1.6"/>
    <n v="71"/>
    <n v="0"/>
    <x v="41"/>
    <n v="334.64566929133861"/>
    <n v="71"/>
    <x v="118"/>
  </r>
  <r>
    <n v="120"/>
    <x v="119"/>
    <n v="338"/>
    <n v="19.899999999999999"/>
    <n v="41"/>
    <n v="17.100000000000001"/>
    <x v="30"/>
    <n v="281.90158465387822"/>
    <n v="35.012809564474807"/>
    <x v="119"/>
  </r>
  <r>
    <n v="121"/>
    <x v="120"/>
    <n v="338"/>
    <n v="-3.4"/>
    <n v="194"/>
    <n v="-3"/>
    <x v="42"/>
    <n v="349.89648033126298"/>
    <n v="200"/>
    <x v="120"/>
  </r>
  <r>
    <n v="122"/>
    <x v="121"/>
    <n v="336"/>
    <n v="15.3"/>
    <n v="138"/>
    <n v="15"/>
    <x v="42"/>
    <n v="291.41370338248049"/>
    <n v="120"/>
    <x v="121"/>
  </r>
  <r>
    <n v="123"/>
    <x v="122"/>
    <n v="335"/>
    <n v="2.6"/>
    <n v="84"/>
    <n v="0"/>
    <x v="24"/>
    <n v="326.51072124756337"/>
    <n v="84"/>
    <x v="122"/>
  </r>
  <r>
    <n v="124"/>
    <x v="123"/>
    <n v="335"/>
    <n v="-0.5"/>
    <n v="373"/>
    <n v="0.5"/>
    <x v="38"/>
    <n v="336.68341708542715"/>
    <n v="371.1442786069652"/>
    <x v="123"/>
  </r>
  <r>
    <n v="125"/>
    <x v="124"/>
    <n v="331"/>
    <n v="-1.8"/>
    <n v="383"/>
    <n v="-1"/>
    <x v="33"/>
    <n v="337.0672097759674"/>
    <n v="386.86868686868689"/>
    <x v="124"/>
  </r>
  <r>
    <n v="126"/>
    <x v="125"/>
    <n v="329"/>
    <n v="-8"/>
    <n v="128"/>
    <n v="-11.1"/>
    <x v="37"/>
    <n v="357.60869565217394"/>
    <n v="143.98200224971879"/>
    <x v="125"/>
  </r>
  <r>
    <n v="127"/>
    <x v="126"/>
    <n v="327"/>
    <n v="-6.1"/>
    <n v="136"/>
    <n v="-4.9000000000000004"/>
    <x v="29"/>
    <n v="348.24281150159743"/>
    <n v="143.00736067297584"/>
    <x v="126"/>
  </r>
  <r>
    <n v="128"/>
    <x v="127"/>
    <n v="326"/>
    <n v="10.1"/>
    <n v="43"/>
    <n v="13.2"/>
    <x v="22"/>
    <n v="296.094459582198"/>
    <n v="37.985865724381625"/>
    <x v="127"/>
  </r>
  <r>
    <n v="129"/>
    <x v="128"/>
    <n v="324"/>
    <n v="2.1"/>
    <n v="108"/>
    <n v="0.9"/>
    <x v="30"/>
    <n v="317.33594515181198"/>
    <n v="107.03666997026758"/>
    <x v="128"/>
  </r>
  <r>
    <n v="130"/>
    <x v="129"/>
    <n v="313"/>
    <n v="-7.9"/>
    <n v="183"/>
    <n v="-9"/>
    <x v="42"/>
    <n v="339.84799131378935"/>
    <n v="201.09890109890111"/>
    <x v="129"/>
  </r>
  <r>
    <n v="131"/>
    <x v="130"/>
    <n v="311"/>
    <n v="-4.4000000000000004"/>
    <n v="172"/>
    <n v="1.2"/>
    <x v="29"/>
    <n v="325.3138075313808"/>
    <n v="169.96047430830038"/>
    <x v="130"/>
  </r>
  <r>
    <n v="132"/>
    <x v="131"/>
    <n v="307"/>
    <n v="1"/>
    <n v="68"/>
    <n v="-2.9"/>
    <x v="22"/>
    <n v="303.96039603960395"/>
    <n v="70.030895983522143"/>
    <x v="131"/>
  </r>
  <r>
    <n v="133"/>
    <x v="132"/>
    <n v="306"/>
    <n v="6.7"/>
    <n v="464"/>
    <n v="3.8"/>
    <x v="36"/>
    <n v="286.78537956888471"/>
    <n v="447.01348747591521"/>
    <x v="132"/>
  </r>
  <r>
    <n v="134"/>
    <x v="133"/>
    <n v="290"/>
    <n v="9.8000000000000007"/>
    <n v="176"/>
    <n v="8.6"/>
    <x v="40"/>
    <n v="264.11657559198545"/>
    <n v="162.06261510128914"/>
    <x v="133"/>
  </r>
  <r>
    <n v="135"/>
    <x v="134"/>
    <n v="289"/>
    <n v="-8.1"/>
    <n v="170"/>
    <n v="-5.6"/>
    <x v="39"/>
    <n v="314.47225244831338"/>
    <n v="180.08474576271186"/>
    <x v="134"/>
  </r>
  <r>
    <n v="136"/>
    <x v="135"/>
    <n v="284"/>
    <n v="-5.6"/>
    <n v="128"/>
    <n v="-3"/>
    <x v="30"/>
    <n v="300.84745762711862"/>
    <n v="131.95876288659792"/>
    <x v="135"/>
  </r>
  <r>
    <n v="137"/>
    <x v="136"/>
    <n v="281"/>
    <n v="2.4"/>
    <n v="224"/>
    <n v="-0.4"/>
    <x v="43"/>
    <n v="274.4140625"/>
    <n v="224.89959839357431"/>
    <x v="136"/>
  </r>
  <r>
    <n v="138"/>
    <x v="137"/>
    <n v="275"/>
    <n v="4.5"/>
    <n v="109"/>
    <n v="1.9"/>
    <x v="32"/>
    <n v="263.15789473684214"/>
    <n v="106.96761530912659"/>
    <x v="137"/>
  </r>
  <r>
    <n v="139"/>
    <x v="138"/>
    <n v="275"/>
    <n v="-3.5"/>
    <n v="290"/>
    <n v="-3.7"/>
    <x v="40"/>
    <n v="284.97409326424872"/>
    <n v="301.14226375908618"/>
    <x v="138"/>
  </r>
  <r>
    <n v="140"/>
    <x v="139"/>
    <n v="272"/>
    <n v="17.3"/>
    <n v="72"/>
    <n v="14.3"/>
    <x v="29"/>
    <n v="231.8840579710145"/>
    <n v="62.99212598425197"/>
    <x v="139"/>
  </r>
  <r>
    <n v="141"/>
    <x v="140"/>
    <n v="269"/>
    <n v="7.3"/>
    <n v="212"/>
    <n v="2.9"/>
    <x v="33"/>
    <n v="250.69897483690588"/>
    <n v="206.02526724975704"/>
    <x v="140"/>
  </r>
  <r>
    <n v="142"/>
    <x v="141"/>
    <n v="269"/>
    <n v="3.1"/>
    <n v="40"/>
    <n v="0"/>
    <x v="34"/>
    <n v="260.91173617846749"/>
    <n v="40"/>
    <x v="141"/>
  </r>
  <r>
    <n v="143"/>
    <x v="142"/>
    <n v="268"/>
    <n v="2.2000000000000002"/>
    <n v="281"/>
    <n v="0"/>
    <x v="35"/>
    <n v="262.23091976516633"/>
    <n v="281"/>
    <x v="142"/>
  </r>
  <r>
    <n v="144"/>
    <x v="143"/>
    <n v="268"/>
    <n v="-12.5"/>
    <n v="150"/>
    <n v="-16.7"/>
    <x v="43"/>
    <n v="306.28571428571428"/>
    <n v="180.0720288115246"/>
    <x v="143"/>
  </r>
  <r>
    <n v="145"/>
    <x v="144"/>
    <n v="267"/>
    <n v="9.9"/>
    <n v="126"/>
    <n v="6.8"/>
    <x v="29"/>
    <n v="242.94813466787991"/>
    <n v="117.97752808988764"/>
    <x v="144"/>
  </r>
  <r>
    <n v="146"/>
    <x v="145"/>
    <n v="266"/>
    <n v="-1.5"/>
    <n v="63"/>
    <n v="-1.6"/>
    <x v="22"/>
    <n v="270.05076142131981"/>
    <n v="64.024390243902431"/>
    <x v="145"/>
  </r>
  <r>
    <n v="147"/>
    <x v="146"/>
    <n v="265"/>
    <n v="-6.5"/>
    <n v="312"/>
    <n v="-3.4"/>
    <x v="40"/>
    <n v="283.42245989304809"/>
    <n v="322.98136645962734"/>
    <x v="146"/>
  </r>
  <r>
    <n v="148"/>
    <x v="147"/>
    <n v="265"/>
    <n v="3.6"/>
    <n v="330"/>
    <n v="1.5"/>
    <x v="38"/>
    <n v="255.79150579150581"/>
    <n v="325.1231527093596"/>
    <x v="147"/>
  </r>
  <r>
    <n v="149"/>
    <x v="148"/>
    <n v="259"/>
    <n v="-3.8"/>
    <n v="122"/>
    <n v="-6.9"/>
    <x v="44"/>
    <n v="269.23076923076923"/>
    <n v="131.04189044038668"/>
    <x v="148"/>
  </r>
  <r>
    <n v="150"/>
    <x v="149"/>
    <n v="253"/>
    <n v="1.4"/>
    <n v="44"/>
    <n v="4.8"/>
    <x v="30"/>
    <n v="249.50690335305717"/>
    <n v="41.984732824427482"/>
    <x v="149"/>
  </r>
  <r>
    <n v="151"/>
    <x v="150"/>
    <n v="252"/>
    <n v="5.3"/>
    <n v="43"/>
    <n v="7.5"/>
    <x v="30"/>
    <n v="239.31623931623932"/>
    <n v="40"/>
    <x v="150"/>
  </r>
  <r>
    <n v="152"/>
    <x v="151"/>
    <n v="252"/>
    <n v="4.7"/>
    <n v="95"/>
    <n v="3.3"/>
    <x v="39"/>
    <n v="240.68767908309457"/>
    <n v="91.96515004840272"/>
    <x v="151"/>
  </r>
  <r>
    <n v="153"/>
    <x v="152"/>
    <n v="250"/>
    <n v="4.9000000000000004"/>
    <n v="569"/>
    <n v="3.8"/>
    <x v="33"/>
    <n v="238.32221163012392"/>
    <n v="548.16955684007712"/>
    <x v="152"/>
  </r>
  <r>
    <n v="154"/>
    <x v="153"/>
    <n v="247"/>
    <n v="0.9"/>
    <n v="342"/>
    <n v="-2.6"/>
    <x v="42"/>
    <n v="244.79682854311199"/>
    <n v="351.12936344969199"/>
    <x v="153"/>
  </r>
  <r>
    <n v="155"/>
    <x v="154"/>
    <n v="242"/>
    <n v="9.6999999999999993"/>
    <n v="18"/>
    <n v="5.9"/>
    <x v="22"/>
    <n v="220.60164083865087"/>
    <n v="16.997167138810198"/>
    <x v="154"/>
  </r>
  <r>
    <n v="156"/>
    <x v="155"/>
    <n v="239"/>
    <n v="11.7"/>
    <n v="36"/>
    <n v="2.9"/>
    <x v="29"/>
    <n v="213.96598030438673"/>
    <n v="34.985422740524783"/>
    <x v="155"/>
  </r>
  <r>
    <n v="157"/>
    <x v="156"/>
    <n v="238"/>
    <n v="2.8"/>
    <n v="215"/>
    <n v="0"/>
    <x v="38"/>
    <n v="231.51750972762648"/>
    <n v="215"/>
    <x v="156"/>
  </r>
  <r>
    <n v="158"/>
    <x v="157"/>
    <n v="232"/>
    <n v="-0.1"/>
    <n v="197"/>
    <n v="-3.4"/>
    <x v="29"/>
    <n v="232.23223223223223"/>
    <n v="203.9337474120083"/>
    <x v="157"/>
  </r>
  <r>
    <n v="159"/>
    <x v="158"/>
    <n v="227"/>
    <n v="-1.9"/>
    <n v="34"/>
    <n v="-2.9"/>
    <x v="34"/>
    <n v="231.39653414882773"/>
    <n v="35.015447991761071"/>
    <x v="158"/>
  </r>
  <r>
    <n v="160"/>
    <x v="159"/>
    <n v="227"/>
    <n v="1.8"/>
    <n v="575"/>
    <n v="-6.5"/>
    <x v="40"/>
    <n v="222.98624754420433"/>
    <n v="614.97326203208559"/>
    <x v="159"/>
  </r>
  <r>
    <n v="161"/>
    <x v="160"/>
    <n v="227"/>
    <n v="0.4"/>
    <n v="121"/>
    <n v="-0.8"/>
    <x v="38"/>
    <n v="226.09561752988046"/>
    <n v="121.9758064516129"/>
    <x v="160"/>
  </r>
  <r>
    <n v="162"/>
    <x v="161"/>
    <n v="225"/>
    <n v="8.6"/>
    <n v="152"/>
    <n v="3.4"/>
    <x v="29"/>
    <n v="207.18232044198896"/>
    <n v="147.00193423597679"/>
    <x v="161"/>
  </r>
  <r>
    <n v="163"/>
    <x v="162"/>
    <n v="218"/>
    <n v="-4"/>
    <n v="300"/>
    <n v="-2.6"/>
    <x v="33"/>
    <n v="227.08333333333334"/>
    <n v="308.00821355236138"/>
    <x v="162"/>
  </r>
  <r>
    <n v="164"/>
    <x v="163"/>
    <n v="218"/>
    <n v="-4.5999999999999996"/>
    <n v="85"/>
    <n v="-3.4"/>
    <x v="32"/>
    <n v="228.51153039832286"/>
    <n v="87.991718426501038"/>
    <x v="163"/>
  </r>
  <r>
    <n v="165"/>
    <x v="164"/>
    <n v="217"/>
    <n v="-4"/>
    <n v="57"/>
    <n v="-1.7"/>
    <x v="32"/>
    <n v="226.04166666666666"/>
    <n v="57.985757884028487"/>
    <x v="164"/>
  </r>
  <r>
    <n v="166"/>
    <x v="165"/>
    <n v="213"/>
    <n v="21.3"/>
    <n v="36"/>
    <n v="20"/>
    <x v="30"/>
    <n v="175.5976916735367"/>
    <n v="30"/>
    <x v="165"/>
  </r>
  <r>
    <n v="167"/>
    <x v="166"/>
    <n v="211"/>
    <n v="-3.3"/>
    <n v="97"/>
    <n v="0"/>
    <x v="44"/>
    <n v="218.200620475698"/>
    <n v="97"/>
    <x v="166"/>
  </r>
  <r>
    <n v="168"/>
    <x v="167"/>
    <n v="210"/>
    <n v="-15.3"/>
    <n v="160"/>
    <n v="-20.399999999999999"/>
    <x v="42"/>
    <n v="247.93388429752065"/>
    <n v="201.00502512562815"/>
    <x v="167"/>
  </r>
  <r>
    <n v="169"/>
    <x v="168"/>
    <n v="205"/>
    <n v="12.4"/>
    <n v="16"/>
    <n v="0"/>
    <x v="22"/>
    <n v="182.38434163701066"/>
    <n v="16"/>
    <x v="168"/>
  </r>
  <r>
    <n v="170"/>
    <x v="169"/>
    <n v="201"/>
    <n v="0.8"/>
    <n v="306"/>
    <n v="-1.3"/>
    <x v="38"/>
    <n v="199.4047619047619"/>
    <n v="310.03039513677811"/>
    <x v="169"/>
  </r>
  <r>
    <n v="171"/>
    <x v="170"/>
    <n v="201"/>
    <n v="5.6"/>
    <n v="956"/>
    <n v="3.5"/>
    <x v="45"/>
    <n v="190.34090909090909"/>
    <n v="923.67149758454104"/>
    <x v="170"/>
  </r>
  <r>
    <n v="172"/>
    <x v="171"/>
    <n v="196"/>
    <n v="-12.9"/>
    <n v="85"/>
    <n v="-14.1"/>
    <x v="32"/>
    <n v="225.02870264064296"/>
    <n v="98.952270081490099"/>
    <x v="171"/>
  </r>
  <r>
    <n v="173"/>
    <x v="172"/>
    <n v="195"/>
    <n v="2.8"/>
    <n v="34"/>
    <n v="3"/>
    <x v="30"/>
    <n v="189.68871595330739"/>
    <n v="33.009708737864081"/>
    <x v="172"/>
  </r>
  <r>
    <n v="174"/>
    <x v="173"/>
    <n v="195"/>
    <n v="-7.5"/>
    <n v="79"/>
    <n v="-6"/>
    <x v="44"/>
    <n v="210.81081081081078"/>
    <n v="84.042553191489361"/>
    <x v="173"/>
  </r>
  <r>
    <n v="175"/>
    <x v="174"/>
    <n v="193"/>
    <n v="-4.2"/>
    <n v="372"/>
    <n v="-3.9"/>
    <x v="38"/>
    <n v="201.46137787056367"/>
    <n v="387.09677419354841"/>
    <x v="174"/>
  </r>
  <r>
    <n v="176"/>
    <x v="175"/>
    <n v="192"/>
    <n v="7.4"/>
    <n v="51"/>
    <n v="6.3"/>
    <x v="30"/>
    <n v="178.77094972067039"/>
    <n v="47.977422389463783"/>
    <x v="175"/>
  </r>
  <r>
    <n v="177"/>
    <x v="176"/>
    <n v="192"/>
    <n v="1.2"/>
    <n v="94"/>
    <n v="0"/>
    <x v="39"/>
    <n v="189.72332015810275"/>
    <n v="94"/>
    <x v="176"/>
  </r>
  <r>
    <n v="178"/>
    <x v="177"/>
    <n v="191"/>
    <n v="-8.3000000000000007"/>
    <n v="94"/>
    <n v="-6.9"/>
    <x v="37"/>
    <n v="208.28789531079605"/>
    <n v="100.96670247046187"/>
    <x v="177"/>
  </r>
  <r>
    <n v="179"/>
    <x v="178"/>
    <n v="190"/>
    <n v="13.8"/>
    <n v="32"/>
    <n v="28"/>
    <x v="30"/>
    <n v="166.95957820738136"/>
    <n v="25"/>
    <x v="178"/>
  </r>
  <r>
    <n v="180"/>
    <x v="179"/>
    <n v="189"/>
    <n v="-5.7"/>
    <n v="76"/>
    <n v="-1.3"/>
    <x v="32"/>
    <n v="200.42417815482506"/>
    <n v="77.001013171225935"/>
    <x v="179"/>
  </r>
  <r>
    <n v="181"/>
    <x v="180"/>
    <n v="187"/>
    <n v="-5.2"/>
    <n v="40"/>
    <n v="-4.8"/>
    <x v="30"/>
    <n v="197.25738396624473"/>
    <n v="42.016806722689076"/>
    <x v="180"/>
  </r>
  <r>
    <n v="182"/>
    <x v="181"/>
    <n v="186"/>
    <n v="-10.199999999999999"/>
    <n v="155"/>
    <n v="-11.4"/>
    <x v="30"/>
    <n v="207.12694877505569"/>
    <n v="174.94356659142213"/>
    <x v="181"/>
  </r>
  <r>
    <n v="183"/>
    <x v="182"/>
    <n v="185"/>
    <n v="-15.8"/>
    <n v="138"/>
    <n v="-11.5"/>
    <x v="40"/>
    <n v="219.71496437054631"/>
    <n v="155.93220338983051"/>
    <x v="182"/>
  </r>
  <r>
    <n v="184"/>
    <x v="183"/>
    <n v="185"/>
    <n v="3.1"/>
    <n v="141"/>
    <n v="0"/>
    <x v="42"/>
    <n v="179.43743937924347"/>
    <n v="141"/>
    <x v="183"/>
  </r>
  <r>
    <n v="185"/>
    <x v="184"/>
    <n v="184"/>
    <n v="16.8"/>
    <n v="102"/>
    <n v="10.9"/>
    <x v="46"/>
    <n v="157.53424657534248"/>
    <n v="91.974752028854823"/>
    <x v="184"/>
  </r>
  <r>
    <n v="186"/>
    <x v="185"/>
    <n v="183"/>
    <n v="6.7"/>
    <n v="184"/>
    <n v="0.5"/>
    <x v="31"/>
    <n v="171.50890346766633"/>
    <n v="183.08457711442787"/>
    <x v="185"/>
  </r>
  <r>
    <n v="187"/>
    <x v="186"/>
    <n v="181"/>
    <n v="10.9"/>
    <n v="215"/>
    <n v="5.4"/>
    <x v="33"/>
    <n v="163.21009918845806"/>
    <n v="203.98481973434534"/>
    <x v="186"/>
  </r>
  <r>
    <n v="188"/>
    <x v="187"/>
    <n v="181"/>
    <n v="-2.9"/>
    <n v="27"/>
    <n v="0"/>
    <x v="34"/>
    <n v="186.40576725025747"/>
    <n v="27"/>
    <x v="187"/>
  </r>
  <r>
    <n v="189"/>
    <x v="188"/>
    <n v="181"/>
    <n v="-6.5"/>
    <n v="105"/>
    <n v="-7.9"/>
    <x v="30"/>
    <n v="193.58288770053477"/>
    <n v="114.00651465798046"/>
    <x v="188"/>
  </r>
  <r>
    <n v="190"/>
    <x v="189"/>
    <n v="179"/>
    <n v="1.7"/>
    <n v="93"/>
    <n v="1.1000000000000001"/>
    <x v="40"/>
    <n v="176.00786627335299"/>
    <n v="91.988130563798222"/>
    <x v="189"/>
  </r>
  <r>
    <n v="191"/>
    <x v="190"/>
    <n v="179"/>
    <n v="3.8"/>
    <n v="165"/>
    <n v="3.1"/>
    <x v="33"/>
    <n v="172.44701348747594"/>
    <n v="160.03879728419011"/>
    <x v="190"/>
  </r>
  <r>
    <n v="192"/>
    <x v="191"/>
    <n v="179"/>
    <n v="-4.4000000000000004"/>
    <n v="126"/>
    <n v="-0.8"/>
    <x v="42"/>
    <n v="187.23849372384939"/>
    <n v="127.01612903225806"/>
    <x v="191"/>
  </r>
  <r>
    <n v="193"/>
    <x v="192"/>
    <n v="178"/>
    <n v="-12.4"/>
    <n v="145"/>
    <n v="-12.1"/>
    <x v="29"/>
    <n v="203.19634703196351"/>
    <n v="164.96018202502844"/>
    <x v="192"/>
  </r>
  <r>
    <n v="194"/>
    <x v="193"/>
    <n v="177"/>
    <n v="-10.199999999999999"/>
    <n v="35"/>
    <n v="-5.4"/>
    <x v="30"/>
    <n v="197.10467706013364"/>
    <n v="36.99788583509514"/>
    <x v="193"/>
  </r>
  <r>
    <n v="195"/>
    <x v="194"/>
    <n v="177"/>
    <n v="3.9"/>
    <n v="353"/>
    <n v="5.4"/>
    <x v="45"/>
    <n v="170.35611164581329"/>
    <n v="334.91461100569256"/>
    <x v="194"/>
  </r>
  <r>
    <n v="196"/>
    <x v="195"/>
    <n v="174"/>
    <n v="2.4"/>
    <n v="87"/>
    <n v="0"/>
    <x v="39"/>
    <n v="169.921875"/>
    <n v="87"/>
    <x v="195"/>
  </r>
  <r>
    <n v="197"/>
    <x v="196"/>
    <n v="173"/>
    <n v="5.5"/>
    <n v="70"/>
    <n v="1.4"/>
    <x v="32"/>
    <n v="163.98104265402844"/>
    <n v="69.033530571992102"/>
    <x v="196"/>
  </r>
  <r>
    <n v="198"/>
    <x v="197"/>
    <n v="173"/>
    <n v="0.9"/>
    <n v="56"/>
    <n v="0"/>
    <x v="30"/>
    <n v="171.45688800792865"/>
    <n v="56"/>
    <x v="197"/>
  </r>
  <r>
    <n v="199"/>
    <x v="198"/>
    <n v="172"/>
    <n v="-4.8"/>
    <n v="77"/>
    <n v="-2.5"/>
    <x v="30"/>
    <n v="180.67226890756302"/>
    <n v="78.974358974358978"/>
    <x v="198"/>
  </r>
  <r>
    <n v="200"/>
    <x v="199"/>
    <n v="171"/>
    <n v="-5"/>
    <n v="153"/>
    <n v="-2.5"/>
    <x v="24"/>
    <n v="180"/>
    <n v="156.92307692307693"/>
    <x v="199"/>
  </r>
  <r>
    <n v="201"/>
    <x v="200"/>
    <n v="171"/>
    <n v="36.299999999999997"/>
    <n v="69"/>
    <n v="3"/>
    <x v="42"/>
    <n v="125.45854732208363"/>
    <n v="66.990291262135926"/>
    <x v="200"/>
  </r>
  <r>
    <n v="202"/>
    <x v="201"/>
    <n v="170"/>
    <n v="3.6"/>
    <n v="75"/>
    <n v="1.4"/>
    <x v="37"/>
    <n v="164.09266409266411"/>
    <n v="73.964497041420117"/>
    <x v="201"/>
  </r>
  <r>
    <n v="203"/>
    <x v="202"/>
    <n v="168"/>
    <n v="1.6"/>
    <n v="42"/>
    <n v="-4.5"/>
    <x v="22"/>
    <n v="165.35433070866142"/>
    <n v="43.97905759162304"/>
    <x v="202"/>
  </r>
  <r>
    <n v="204"/>
    <x v="203"/>
    <n v="168"/>
    <n v="-1.3"/>
    <n v="61"/>
    <n v="-3.2"/>
    <x v="37"/>
    <n v="170.21276595744681"/>
    <n v="63.016528925619838"/>
    <x v="203"/>
  </r>
  <r>
    <n v="205"/>
    <x v="204"/>
    <n v="166"/>
    <n v="-7.4"/>
    <n v="53"/>
    <n v="-7"/>
    <x v="34"/>
    <n v="179.26565874730022"/>
    <n v="56.98924731182796"/>
    <x v="204"/>
  </r>
  <r>
    <n v="206"/>
    <x v="205"/>
    <n v="164"/>
    <n v="3.7"/>
    <n v="66"/>
    <n v="3.1"/>
    <x v="32"/>
    <n v="158.14850530376083"/>
    <n v="64.015518913676047"/>
    <x v="205"/>
  </r>
  <r>
    <n v="207"/>
    <x v="206"/>
    <n v="163"/>
    <n v="6.7"/>
    <n v="42"/>
    <n v="2.4"/>
    <x v="30"/>
    <n v="152.76476101218367"/>
    <n v="41.015625"/>
    <x v="206"/>
  </r>
  <r>
    <n v="208"/>
    <x v="207"/>
    <n v="162"/>
    <n v="-1.9"/>
    <n v="182"/>
    <n v="-0.5"/>
    <x v="39"/>
    <n v="165.1376146788991"/>
    <n v="182.9145728643216"/>
    <x v="207"/>
  </r>
  <r>
    <n v="209"/>
    <x v="208"/>
    <n v="161"/>
    <n v="-2.4"/>
    <n v="92"/>
    <n v="0"/>
    <x v="42"/>
    <n v="164.95901639344262"/>
    <n v="92"/>
    <x v="208"/>
  </r>
  <r>
    <n v="210"/>
    <x v="209"/>
    <n v="161"/>
    <n v="-2.2999999999999998"/>
    <n v="129"/>
    <n v="-1.5"/>
    <x v="31"/>
    <n v="164.79017400204708"/>
    <n v="130.96446700507613"/>
    <x v="209"/>
  </r>
  <r>
    <n v="211"/>
    <x v="210"/>
    <n v="159"/>
    <n v="2"/>
    <n v="143"/>
    <n v="0.7"/>
    <x v="40"/>
    <n v="155.88235294117646"/>
    <n v="142.00595829195629"/>
    <x v="210"/>
  </r>
  <r>
    <n v="212"/>
    <x v="211"/>
    <n v="157"/>
    <n v="-15.6"/>
    <n v="35"/>
    <n v="-14.6"/>
    <x v="34"/>
    <n v="186.01895734597156"/>
    <n v="40.983606557377044"/>
    <x v="211"/>
  </r>
  <r>
    <n v="213"/>
    <x v="212"/>
    <n v="157"/>
    <n v="1.2"/>
    <n v="13"/>
    <n v="0"/>
    <x v="30"/>
    <n v="155.1383399209486"/>
    <n v="13"/>
    <x v="212"/>
  </r>
  <r>
    <n v="214"/>
    <x v="213"/>
    <n v="153"/>
    <n v="4"/>
    <n v="68"/>
    <n v="1.5"/>
    <x v="32"/>
    <n v="147.11538461538461"/>
    <n v="66.995073891625623"/>
    <x v="213"/>
  </r>
  <r>
    <n v="215"/>
    <x v="214"/>
    <n v="153"/>
    <n v="39.5"/>
    <n v="144"/>
    <n v="38.5"/>
    <x v="31"/>
    <n v="109.6774193548387"/>
    <n v="103.97111913357401"/>
    <x v="214"/>
  </r>
  <r>
    <n v="216"/>
    <x v="215"/>
    <n v="152"/>
    <n v="14.5"/>
    <n v="81"/>
    <n v="8"/>
    <x v="39"/>
    <n v="132.75109170305677"/>
    <n v="75"/>
    <x v="215"/>
  </r>
  <r>
    <n v="217"/>
    <x v="216"/>
    <n v="152"/>
    <n v="-6.5"/>
    <n v="63"/>
    <n v="-7.4"/>
    <x v="42"/>
    <n v="162.56684491978609"/>
    <n v="68.034557235421175"/>
    <x v="216"/>
  </r>
  <r>
    <n v="218"/>
    <x v="217"/>
    <n v="151"/>
    <n v="0.8"/>
    <n v="56"/>
    <n v="0"/>
    <x v="24"/>
    <n v="149.80158730158729"/>
    <n v="56"/>
    <x v="217"/>
  </r>
  <r>
    <n v="219"/>
    <x v="218"/>
    <n v="150"/>
    <n v="2.2000000000000002"/>
    <n v="42"/>
    <n v="0"/>
    <x v="32"/>
    <n v="146.77103718199609"/>
    <n v="42"/>
    <x v="218"/>
  </r>
  <r>
    <n v="220"/>
    <x v="219"/>
    <n v="149"/>
    <n v="11.9"/>
    <n v="93"/>
    <n v="6.9"/>
    <x v="47"/>
    <n v="133.15460232350313"/>
    <n v="86.997193638914865"/>
    <x v="219"/>
  </r>
  <r>
    <n v="221"/>
    <x v="220"/>
    <n v="149"/>
    <n v="-3.1"/>
    <n v="416"/>
    <n v="-2.1"/>
    <x v="35"/>
    <n v="153.76676986584107"/>
    <n v="424.92339121552601"/>
    <x v="220"/>
  </r>
  <r>
    <n v="222"/>
    <x v="221"/>
    <n v="148"/>
    <n v="-4.5"/>
    <n v="210"/>
    <n v="-2.8"/>
    <x v="39"/>
    <n v="154.9738219895288"/>
    <n v="216.04938271604937"/>
    <x v="221"/>
  </r>
  <r>
    <n v="223"/>
    <x v="222"/>
    <n v="147"/>
    <n v="6.5"/>
    <n v="139"/>
    <n v="2.2000000000000002"/>
    <x v="29"/>
    <n v="138.02816901408451"/>
    <n v="136.00782778864971"/>
    <x v="222"/>
  </r>
  <r>
    <n v="224"/>
    <x v="223"/>
    <n v="144"/>
    <n v="2.6"/>
    <n v="34"/>
    <n v="0"/>
    <x v="24"/>
    <n v="140.35087719298247"/>
    <n v="34"/>
    <x v="223"/>
  </r>
  <r>
    <n v="225"/>
    <x v="224"/>
    <n v="144"/>
    <n v="8.1"/>
    <n v="21"/>
    <n v="10.5"/>
    <x v="34"/>
    <n v="133.2099907493062"/>
    <n v="19.004524886877828"/>
    <x v="224"/>
  </r>
  <r>
    <n v="226"/>
    <x v="225"/>
    <n v="144"/>
    <n v="14.6"/>
    <n v="54"/>
    <n v="14.9"/>
    <x v="30"/>
    <n v="125.6544502617801"/>
    <n v="46.997389033942554"/>
    <x v="225"/>
  </r>
  <r>
    <n v="227"/>
    <x v="226"/>
    <n v="144"/>
    <n v="20.2"/>
    <n v="16"/>
    <n v="6.7"/>
    <x v="34"/>
    <n v="119.80033277870217"/>
    <n v="14.99531396438613"/>
    <x v="226"/>
  </r>
  <r>
    <n v="228"/>
    <x v="227"/>
    <n v="143"/>
    <n v="2.2000000000000002"/>
    <n v="25"/>
    <n v="0"/>
    <x v="29"/>
    <n v="139.92172211350294"/>
    <n v="25"/>
    <x v="227"/>
  </r>
  <r>
    <n v="229"/>
    <x v="228"/>
    <n v="143"/>
    <n v="1.1000000000000001"/>
    <n v="78"/>
    <n v="-2.5"/>
    <x v="31"/>
    <n v="141.4441147378833"/>
    <n v="80"/>
    <x v="228"/>
  </r>
  <r>
    <n v="230"/>
    <x v="229"/>
    <n v="143"/>
    <n v="-21.2"/>
    <n v="45"/>
    <n v="-32.799999999999997"/>
    <x v="30"/>
    <n v="181.47208121827413"/>
    <n v="66.964285714285708"/>
    <x v="229"/>
  </r>
  <r>
    <n v="231"/>
    <x v="230"/>
    <n v="142"/>
    <n v="-18.8"/>
    <n v="49"/>
    <n v="-24.6"/>
    <x v="44"/>
    <n v="174.8768472906404"/>
    <n v="64.986737400530501"/>
    <x v="230"/>
  </r>
  <r>
    <n v="232"/>
    <x v="231"/>
    <n v="142"/>
    <n v="2.7"/>
    <n v="368"/>
    <n v="2.2000000000000002"/>
    <x v="45"/>
    <n v="138.26679649464461"/>
    <n v="360.07827788649706"/>
    <x v="231"/>
  </r>
  <r>
    <n v="233"/>
    <x v="232"/>
    <n v="139"/>
    <n v="9.4"/>
    <n v="17"/>
    <n v="13.3"/>
    <x v="41"/>
    <n v="127.05667276051187"/>
    <n v="15.00441306266549"/>
    <x v="232"/>
  </r>
  <r>
    <n v="234"/>
    <x v="233"/>
    <n v="138"/>
    <n v="3"/>
    <n v="112"/>
    <n v="7.7"/>
    <x v="40"/>
    <n v="133.98058252427185"/>
    <n v="103.99257195914578"/>
    <x v="233"/>
  </r>
  <r>
    <n v="235"/>
    <x v="234"/>
    <n v="136"/>
    <n v="25"/>
    <n v="90"/>
    <n v="21.6"/>
    <x v="37"/>
    <n v="108.80000000000001"/>
    <n v="74.01315789473685"/>
    <x v="234"/>
  </r>
  <r>
    <n v="236"/>
    <x v="235"/>
    <n v="133"/>
    <n v="27.8"/>
    <n v="33"/>
    <n v="37.5"/>
    <x v="24"/>
    <n v="104.06885758998435"/>
    <n v="24"/>
    <x v="235"/>
  </r>
  <r>
    <n v="237"/>
    <x v="236"/>
    <n v="133"/>
    <n v="-2.1"/>
    <n v="282"/>
    <n v="-0.7"/>
    <x v="36"/>
    <n v="135.85291113380998"/>
    <n v="283.98791540785498"/>
    <x v="236"/>
  </r>
  <r>
    <n v="238"/>
    <x v="237"/>
    <n v="132"/>
    <n v="-2.6"/>
    <n v="267"/>
    <n v="-2.2000000000000002"/>
    <x v="35"/>
    <n v="135.523613963039"/>
    <n v="273.00613496932516"/>
    <x v="237"/>
  </r>
  <r>
    <n v="239"/>
    <x v="238"/>
    <n v="132"/>
    <n v="2.2000000000000002"/>
    <n v="415"/>
    <n v="0.2"/>
    <x v="45"/>
    <n v="129.15851272015655"/>
    <n v="414.17165668662676"/>
    <x v="238"/>
  </r>
  <r>
    <n v="240"/>
    <x v="239"/>
    <n v="132"/>
    <n v="3.7"/>
    <n v="191"/>
    <n v="0"/>
    <x v="43"/>
    <n v="127.29026036644167"/>
    <n v="191"/>
    <x v="239"/>
  </r>
  <r>
    <n v="241"/>
    <x v="240"/>
    <n v="131"/>
    <n v="4.5"/>
    <n v="31"/>
    <n v="6.9"/>
    <x v="30"/>
    <n v="125.35885167464116"/>
    <n v="28.999064546304957"/>
    <x v="240"/>
  </r>
  <r>
    <n v="242"/>
    <x v="241"/>
    <n v="129"/>
    <n v="3.8"/>
    <n v="240"/>
    <n v="0.8"/>
    <x v="36"/>
    <n v="124.27745664739885"/>
    <n v="238.0952380952381"/>
    <x v="241"/>
  </r>
  <r>
    <n v="243"/>
    <x v="242"/>
    <n v="129"/>
    <n v="5.2"/>
    <n v="93"/>
    <n v="2.2000000000000002"/>
    <x v="29"/>
    <n v="122.62357414448668"/>
    <n v="90.998043052837573"/>
    <x v="242"/>
  </r>
  <r>
    <n v="244"/>
    <x v="243"/>
    <n v="129"/>
    <n v="5.0999999999999996"/>
    <n v="195"/>
    <n v="3.7"/>
    <x v="37"/>
    <n v="122.74024738344436"/>
    <n v="188.04243008678881"/>
    <x v="243"/>
  </r>
  <r>
    <n v="245"/>
    <x v="244"/>
    <n v="129"/>
    <n v="18.600000000000001"/>
    <n v="52"/>
    <n v="8.3000000000000007"/>
    <x v="41"/>
    <n v="108.76897133220911"/>
    <n v="48.014773776546633"/>
    <x v="244"/>
  </r>
  <r>
    <n v="246"/>
    <x v="245"/>
    <n v="129"/>
    <n v="-10.4"/>
    <n v="18"/>
    <n v="-5.3"/>
    <x v="30"/>
    <n v="143.97321428571431"/>
    <n v="19.00739176346357"/>
    <x v="245"/>
  </r>
  <r>
    <n v="247"/>
    <x v="246"/>
    <n v="127"/>
    <n v="-5.5"/>
    <n v="56"/>
    <n v="-11.1"/>
    <x v="31"/>
    <n v="134.39153439153441"/>
    <n v="62.992125984251963"/>
    <x v="246"/>
  </r>
  <r>
    <n v="248"/>
    <x v="247"/>
    <n v="127"/>
    <n v="12.1"/>
    <n v="25"/>
    <n v="8.6999999999999993"/>
    <x v="29"/>
    <n v="113.29170383586084"/>
    <n v="22.999080036798528"/>
    <x v="247"/>
  </r>
  <r>
    <n v="249"/>
    <x v="248"/>
    <n v="126"/>
    <n v="10.1"/>
    <n v="270"/>
    <n v="7.1"/>
    <x v="40"/>
    <n v="114.44141689373298"/>
    <n v="252.10084033613447"/>
    <x v="248"/>
  </r>
  <r>
    <n v="250"/>
    <x v="249"/>
    <n v="126"/>
    <n v="15.2"/>
    <n v="40"/>
    <n v="11.1"/>
    <x v="31"/>
    <n v="109.375"/>
    <n v="36.003600360036003"/>
    <x v="24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4B6EA1E-0F2B-4695-99C5-BB770A82C763}" name="PivotTable13"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4:B29" firstHeaderRow="1" firstDataRow="1" firstDataCol="1" rowPageCount="1" colPageCount="1"/>
  <pivotFields count="10">
    <pivotField showAll="0"/>
    <pivotField axis="axisRow" showAll="0">
      <items count="251">
        <item x="240"/>
        <item x="159"/>
        <item x="213"/>
        <item x="15"/>
        <item x="17"/>
        <item x="134"/>
        <item x="80"/>
        <item x="150"/>
        <item x="135"/>
        <item x="72"/>
        <item x="199"/>
        <item x="118"/>
        <item x="120"/>
        <item x="241"/>
        <item x="201"/>
        <item x="47"/>
        <item x="202"/>
        <item x="121"/>
        <item x="112"/>
        <item x="58"/>
        <item x="46"/>
        <item x="74"/>
        <item x="89"/>
        <item x="142"/>
        <item x="164"/>
        <item x="221"/>
        <item x="187"/>
        <item x="179"/>
        <item x="21"/>
        <item x="4"/>
        <item x="233"/>
        <item x="144"/>
        <item x="71"/>
        <item x="79"/>
        <item x="132"/>
        <item x="42"/>
        <item x="67"/>
        <item x="100"/>
        <item x="84"/>
        <item x="63"/>
        <item x="214"/>
        <item x="2"/>
        <item x="22"/>
        <item x="11"/>
        <item x="108"/>
        <item x="64"/>
        <item x="101"/>
        <item x="105"/>
        <item x="170"/>
        <item x="193"/>
        <item x="111"/>
        <item x="248"/>
        <item x="119"/>
        <item x="116"/>
        <item x="242"/>
        <item x="31"/>
        <item x="37"/>
        <item x="20"/>
        <item x="77"/>
        <item x="238"/>
        <item x="168"/>
        <item x="56"/>
        <item x="26"/>
        <item x="114"/>
        <item x="8"/>
        <item x="190"/>
        <item x="223"/>
        <item x="7"/>
        <item x="78"/>
        <item x="216"/>
        <item x="224"/>
        <item x="86"/>
        <item x="53"/>
        <item x="125"/>
        <item x="189"/>
        <item x="156"/>
        <item x="175"/>
        <item x="57"/>
        <item x="81"/>
        <item x="39"/>
        <item x="131"/>
        <item x="127"/>
        <item x="83"/>
        <item x="167"/>
        <item x="182"/>
        <item x="161"/>
        <item x="196"/>
        <item x="152"/>
        <item x="185"/>
        <item x="38"/>
        <item x="212"/>
        <item x="231"/>
        <item x="207"/>
        <item x="244"/>
        <item x="180"/>
        <item x="34"/>
        <item x="55"/>
        <item x="229"/>
        <item x="153"/>
        <item x="99"/>
        <item x="217"/>
        <item x="24"/>
        <item x="49"/>
        <item x="197"/>
        <item x="172"/>
        <item x="23"/>
        <item x="133"/>
        <item x="87"/>
        <item x="68"/>
        <item x="45"/>
        <item x="124"/>
        <item x="33"/>
        <item x="204"/>
        <item x="181"/>
        <item x="249"/>
        <item x="13"/>
        <item x="54"/>
        <item x="117"/>
        <item x="243"/>
        <item x="195"/>
        <item x="205"/>
        <item x="165"/>
        <item x="176"/>
        <item x="209"/>
        <item x="158"/>
        <item x="19"/>
        <item x="91"/>
        <item x="106"/>
        <item x="36"/>
        <item x="173"/>
        <item x="247"/>
        <item x="104"/>
        <item x="69"/>
        <item x="154"/>
        <item x="62"/>
        <item x="211"/>
        <item x="0"/>
        <item x="94"/>
        <item x="220"/>
        <item x="200"/>
        <item x="97"/>
        <item x="198"/>
        <item x="234"/>
        <item x="92"/>
        <item x="59"/>
        <item x="145"/>
        <item x="186"/>
        <item x="160"/>
        <item x="128"/>
        <item x="232"/>
        <item x="85"/>
        <item x="226"/>
        <item x="102"/>
        <item x="137"/>
        <item x="230"/>
        <item x="14"/>
        <item x="126"/>
        <item x="28"/>
        <item x="51"/>
        <item x="16"/>
        <item x="9"/>
        <item x="27"/>
        <item x="60"/>
        <item x="141"/>
        <item x="227"/>
        <item x="215"/>
        <item x="246"/>
        <item x="113"/>
        <item x="143"/>
        <item x="169"/>
        <item x="82"/>
        <item x="10"/>
        <item x="140"/>
        <item x="228"/>
        <item x="103"/>
        <item x="18"/>
        <item x="88"/>
        <item x="98"/>
        <item x="151"/>
        <item x="52"/>
        <item x="245"/>
        <item x="41"/>
        <item x="138"/>
        <item x="30"/>
        <item x="40"/>
        <item x="163"/>
        <item x="206"/>
        <item x="96"/>
        <item x="157"/>
        <item x="61"/>
        <item x="66"/>
        <item x="107"/>
        <item x="136"/>
        <item x="162"/>
        <item x="123"/>
        <item x="149"/>
        <item x="70"/>
        <item x="208"/>
        <item x="191"/>
        <item x="148"/>
        <item x="146"/>
        <item x="203"/>
        <item x="93"/>
        <item x="12"/>
        <item x="177"/>
        <item x="166"/>
        <item x="1"/>
        <item x="50"/>
        <item x="5"/>
        <item x="184"/>
        <item x="3"/>
        <item x="192"/>
        <item x="130"/>
        <item x="109"/>
        <item x="219"/>
        <item x="110"/>
        <item x="25"/>
        <item x="48"/>
        <item x="95"/>
        <item x="32"/>
        <item x="236"/>
        <item x="90"/>
        <item x="188"/>
        <item x="218"/>
        <item x="183"/>
        <item x="222"/>
        <item x="65"/>
        <item x="225"/>
        <item x="139"/>
        <item x="76"/>
        <item x="178"/>
        <item x="122"/>
        <item x="155"/>
        <item x="171"/>
        <item x="129"/>
        <item x="239"/>
        <item x="44"/>
        <item x="235"/>
        <item x="210"/>
        <item x="6"/>
        <item x="194"/>
        <item x="29"/>
        <item x="174"/>
        <item x="75"/>
        <item x="147"/>
        <item x="43"/>
        <item x="73"/>
        <item x="237"/>
        <item x="35"/>
        <item x="115"/>
        <item t="default"/>
      </items>
    </pivotField>
    <pivotField numFmtId="43" showAll="0"/>
    <pivotField numFmtId="43" showAll="0"/>
    <pivotField showAll="0"/>
    <pivotField numFmtId="2" showAll="0"/>
    <pivotField axis="axisPage" multipleItemSelectionAllowed="1" showAll="0">
      <items count="49">
        <item h="1" x="41"/>
        <item h="1" x="43"/>
        <item h="1" x="39"/>
        <item h="1" x="37"/>
        <item h="1" x="40"/>
        <item h="1" x="20"/>
        <item h="1" x="8"/>
        <item h="1" x="15"/>
        <item h="1" x="12"/>
        <item h="1" x="14"/>
        <item h="1" x="9"/>
        <item h="1" x="31"/>
        <item h="1" x="36"/>
        <item h="1" x="47"/>
        <item h="1" x="44"/>
        <item h="1" x="13"/>
        <item h="1" x="42"/>
        <item h="1" x="10"/>
        <item h="1" x="6"/>
        <item h="1" x="19"/>
        <item h="1" x="17"/>
        <item h="1" x="7"/>
        <item h="1" x="27"/>
        <item h="1" x="16"/>
        <item h="1" x="28"/>
        <item h="1" x="35"/>
        <item h="1" x="46"/>
        <item h="1" x="32"/>
        <item h="1" x="29"/>
        <item h="1" x="33"/>
        <item h="1" x="26"/>
        <item h="1" x="23"/>
        <item x="0"/>
        <item x="2"/>
        <item x="1"/>
        <item x="18"/>
        <item h="1" x="11"/>
        <item h="1" x="3"/>
        <item h="1" x="5"/>
        <item h="1" x="4"/>
        <item h="1" x="25"/>
        <item h="1" x="21"/>
        <item h="1" x="38"/>
        <item h="1" x="34"/>
        <item h="1" x="45"/>
        <item h="1" x="24"/>
        <item h="1" x="22"/>
        <item h="1" x="30"/>
        <item t="default"/>
      </items>
    </pivotField>
    <pivotField numFmtId="43" showAll="0"/>
    <pivotField numFmtId="1" showAll="0"/>
    <pivotField dataField="1" numFmtId="2" showAll="0"/>
  </pivotFields>
  <rowFields count="1">
    <field x="1"/>
  </rowFields>
  <rowItems count="25">
    <i>
      <x v="20"/>
    </i>
    <i>
      <x v="29"/>
    </i>
    <i>
      <x v="35"/>
    </i>
    <i>
      <x v="38"/>
    </i>
    <i>
      <x v="41"/>
    </i>
    <i>
      <x v="45"/>
    </i>
    <i>
      <x v="56"/>
    </i>
    <i>
      <x v="67"/>
    </i>
    <i>
      <x v="68"/>
    </i>
    <i>
      <x v="72"/>
    </i>
    <i>
      <x v="89"/>
    </i>
    <i>
      <x v="95"/>
    </i>
    <i>
      <x v="102"/>
    </i>
    <i>
      <x v="105"/>
    </i>
    <i>
      <x v="115"/>
    </i>
    <i>
      <x v="136"/>
    </i>
    <i>
      <x v="175"/>
    </i>
    <i>
      <x v="203"/>
    </i>
    <i>
      <x v="206"/>
    </i>
    <i>
      <x v="207"/>
    </i>
    <i>
      <x v="226"/>
    </i>
    <i>
      <x v="239"/>
    </i>
    <i>
      <x v="241"/>
    </i>
    <i>
      <x v="243"/>
    </i>
    <i t="grand">
      <x/>
    </i>
  </rowItems>
  <colItems count="1">
    <i/>
  </colItems>
  <pageFields count="1">
    <pageField fld="6" hier="-1"/>
  </pageFields>
  <dataFields count="1">
    <dataField name="Sum of Sales/Unit (MM)" fld="9" baseField="0" baseItem="0"/>
  </dataFields>
  <chartFormats count="1">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AFBA045-E5C1-4637-8563-0C67AC23CCEF}" name="PivotTable14"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71:B99" firstHeaderRow="1" firstDataRow="1" firstDataCol="1" rowPageCount="1" colPageCount="1"/>
  <pivotFields count="10">
    <pivotField showAll="0"/>
    <pivotField axis="axisRow" showAll="0">
      <items count="251">
        <item x="240"/>
        <item x="159"/>
        <item x="213"/>
        <item x="15"/>
        <item x="17"/>
        <item x="134"/>
        <item x="80"/>
        <item x="150"/>
        <item x="135"/>
        <item x="72"/>
        <item x="199"/>
        <item x="118"/>
        <item x="120"/>
        <item x="241"/>
        <item x="201"/>
        <item x="47"/>
        <item x="202"/>
        <item x="121"/>
        <item x="112"/>
        <item x="58"/>
        <item x="46"/>
        <item x="74"/>
        <item x="89"/>
        <item x="142"/>
        <item x="164"/>
        <item x="221"/>
        <item x="187"/>
        <item x="179"/>
        <item x="21"/>
        <item x="4"/>
        <item x="233"/>
        <item x="144"/>
        <item x="71"/>
        <item x="79"/>
        <item x="132"/>
        <item x="42"/>
        <item x="67"/>
        <item x="100"/>
        <item x="84"/>
        <item x="63"/>
        <item x="214"/>
        <item x="2"/>
        <item x="22"/>
        <item x="11"/>
        <item x="108"/>
        <item x="64"/>
        <item x="101"/>
        <item x="105"/>
        <item x="170"/>
        <item x="193"/>
        <item x="111"/>
        <item x="248"/>
        <item x="119"/>
        <item x="116"/>
        <item x="242"/>
        <item x="31"/>
        <item x="37"/>
        <item x="20"/>
        <item x="77"/>
        <item x="238"/>
        <item x="168"/>
        <item x="56"/>
        <item x="26"/>
        <item x="114"/>
        <item x="8"/>
        <item x="190"/>
        <item x="223"/>
        <item x="7"/>
        <item x="78"/>
        <item x="216"/>
        <item x="224"/>
        <item x="86"/>
        <item x="53"/>
        <item x="125"/>
        <item x="189"/>
        <item x="156"/>
        <item x="175"/>
        <item x="57"/>
        <item x="81"/>
        <item x="39"/>
        <item x="131"/>
        <item x="127"/>
        <item x="83"/>
        <item x="167"/>
        <item x="182"/>
        <item x="161"/>
        <item x="196"/>
        <item x="152"/>
        <item x="185"/>
        <item x="38"/>
        <item x="212"/>
        <item x="231"/>
        <item x="207"/>
        <item x="244"/>
        <item x="180"/>
        <item x="34"/>
        <item x="55"/>
        <item x="229"/>
        <item x="153"/>
        <item x="99"/>
        <item x="217"/>
        <item x="24"/>
        <item x="49"/>
        <item x="197"/>
        <item x="172"/>
        <item x="23"/>
        <item x="133"/>
        <item x="87"/>
        <item x="68"/>
        <item x="45"/>
        <item x="124"/>
        <item x="33"/>
        <item x="204"/>
        <item x="181"/>
        <item x="249"/>
        <item x="13"/>
        <item x="54"/>
        <item x="117"/>
        <item x="243"/>
        <item x="195"/>
        <item x="205"/>
        <item x="165"/>
        <item x="176"/>
        <item x="209"/>
        <item x="158"/>
        <item x="19"/>
        <item x="91"/>
        <item x="106"/>
        <item x="36"/>
        <item x="173"/>
        <item x="247"/>
        <item x="104"/>
        <item x="69"/>
        <item x="154"/>
        <item x="62"/>
        <item x="211"/>
        <item x="0"/>
        <item x="94"/>
        <item x="220"/>
        <item x="200"/>
        <item x="97"/>
        <item x="198"/>
        <item x="234"/>
        <item x="92"/>
        <item x="59"/>
        <item x="145"/>
        <item x="186"/>
        <item x="160"/>
        <item x="128"/>
        <item x="232"/>
        <item x="85"/>
        <item x="226"/>
        <item x="102"/>
        <item x="137"/>
        <item x="230"/>
        <item x="14"/>
        <item x="126"/>
        <item x="28"/>
        <item x="51"/>
        <item x="16"/>
        <item x="9"/>
        <item x="27"/>
        <item x="60"/>
        <item x="141"/>
        <item x="227"/>
        <item x="215"/>
        <item x="246"/>
        <item x="113"/>
        <item x="143"/>
        <item x="169"/>
        <item x="82"/>
        <item x="10"/>
        <item x="140"/>
        <item x="228"/>
        <item x="103"/>
        <item x="18"/>
        <item x="88"/>
        <item x="98"/>
        <item x="151"/>
        <item x="52"/>
        <item x="245"/>
        <item x="41"/>
        <item x="138"/>
        <item x="30"/>
        <item x="40"/>
        <item x="163"/>
        <item x="206"/>
        <item x="96"/>
        <item x="157"/>
        <item x="61"/>
        <item x="66"/>
        <item x="107"/>
        <item x="136"/>
        <item x="162"/>
        <item x="123"/>
        <item x="149"/>
        <item x="70"/>
        <item x="208"/>
        <item x="191"/>
        <item x="148"/>
        <item x="146"/>
        <item x="203"/>
        <item x="93"/>
        <item x="12"/>
        <item x="177"/>
        <item x="166"/>
        <item x="1"/>
        <item x="50"/>
        <item x="5"/>
        <item x="184"/>
        <item x="3"/>
        <item x="192"/>
        <item x="130"/>
        <item x="109"/>
        <item x="219"/>
        <item x="110"/>
        <item x="25"/>
        <item x="48"/>
        <item x="95"/>
        <item x="32"/>
        <item x="236"/>
        <item x="90"/>
        <item x="188"/>
        <item x="218"/>
        <item x="183"/>
        <item x="222"/>
        <item x="65"/>
        <item x="225"/>
        <item x="139"/>
        <item x="76"/>
        <item x="178"/>
        <item x="122"/>
        <item x="155"/>
        <item x="171"/>
        <item x="129"/>
        <item x="239"/>
        <item x="44"/>
        <item x="235"/>
        <item x="210"/>
        <item x="6"/>
        <item x="194"/>
        <item x="29"/>
        <item x="174"/>
        <item x="75"/>
        <item x="147"/>
        <item x="43"/>
        <item x="73"/>
        <item x="237"/>
        <item x="35"/>
        <item x="115"/>
        <item t="default"/>
      </items>
    </pivotField>
    <pivotField numFmtId="43" showAll="0"/>
    <pivotField numFmtId="43" showAll="0"/>
    <pivotField showAll="0"/>
    <pivotField numFmtId="2" showAll="0"/>
    <pivotField axis="axisPage" multipleItemSelectionAllowed="1" showAll="0">
      <items count="49">
        <item h="1" x="41"/>
        <item h="1" x="43"/>
        <item h="1" x="39"/>
        <item h="1" x="37"/>
        <item x="40"/>
        <item h="1" x="20"/>
        <item h="1" x="8"/>
        <item h="1" x="15"/>
        <item h="1" x="12"/>
        <item h="1" x="14"/>
        <item h="1" x="9"/>
        <item h="1" x="31"/>
        <item h="1" x="36"/>
        <item h="1" x="47"/>
        <item h="1" x="44"/>
        <item h="1" x="13"/>
        <item h="1" x="42"/>
        <item h="1" x="10"/>
        <item h="1" x="6"/>
        <item x="19"/>
        <item h="1" x="17"/>
        <item h="1" x="7"/>
        <item h="1" x="27"/>
        <item h="1" x="16"/>
        <item h="1" x="28"/>
        <item h="1" x="35"/>
        <item h="1" x="46"/>
        <item h="1" x="32"/>
        <item h="1" x="29"/>
        <item h="1" x="33"/>
        <item h="1" x="26"/>
        <item h="1" x="23"/>
        <item x="0"/>
        <item h="1" x="2"/>
        <item h="1" x="1"/>
        <item h="1" x="18"/>
        <item h="1" x="11"/>
        <item h="1" x="3"/>
        <item h="1" x="5"/>
        <item h="1" x="4"/>
        <item h="1" x="25"/>
        <item h="1" x="21"/>
        <item h="1" x="38"/>
        <item h="1" x="34"/>
        <item h="1" x="45"/>
        <item h="1" x="24"/>
        <item h="1" x="22"/>
        <item h="1" x="30"/>
        <item t="default"/>
      </items>
    </pivotField>
    <pivotField numFmtId="43" showAll="0"/>
    <pivotField numFmtId="1" showAll="0"/>
    <pivotField dataField="1" numFmtId="2" showAll="0"/>
  </pivotFields>
  <rowFields count="1">
    <field x="1"/>
  </rowFields>
  <rowItems count="28">
    <i>
      <x v="1"/>
    </i>
    <i>
      <x v="29"/>
    </i>
    <i>
      <x v="30"/>
    </i>
    <i>
      <x v="35"/>
    </i>
    <i>
      <x v="38"/>
    </i>
    <i>
      <x v="51"/>
    </i>
    <i>
      <x v="56"/>
    </i>
    <i>
      <x v="74"/>
    </i>
    <i>
      <x v="79"/>
    </i>
    <i>
      <x v="82"/>
    </i>
    <i>
      <x v="84"/>
    </i>
    <i>
      <x v="95"/>
    </i>
    <i>
      <x v="102"/>
    </i>
    <i>
      <x v="105"/>
    </i>
    <i>
      <x v="106"/>
    </i>
    <i>
      <x v="117"/>
    </i>
    <i>
      <x v="136"/>
    </i>
    <i>
      <x v="182"/>
    </i>
    <i>
      <x v="196"/>
    </i>
    <i>
      <x v="200"/>
    </i>
    <i>
      <x v="203"/>
    </i>
    <i>
      <x v="207"/>
    </i>
    <i>
      <x v="221"/>
    </i>
    <i>
      <x v="238"/>
    </i>
    <i>
      <x v="239"/>
    </i>
    <i>
      <x v="241"/>
    </i>
    <i>
      <x v="243"/>
    </i>
    <i t="grand">
      <x/>
    </i>
  </rowItems>
  <colItems count="1">
    <i/>
  </colItems>
  <pageFields count="1">
    <pageField fld="6" hier="-1"/>
  </pageFields>
  <dataFields count="1">
    <dataField name="Sum of Sales/Unit (MM)" fld="9" baseField="1" baseItem="1"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251"/>
  <sheetViews>
    <sheetView workbookViewId="0"/>
  </sheetViews>
  <sheetFormatPr defaultRowHeight="15" x14ac:dyDescent="0.25"/>
  <sheetData>
    <row r="1" spans="1:1" x14ac:dyDescent="0.25">
      <c r="A1" t="s">
        <v>0</v>
      </c>
    </row>
    <row r="2" spans="1:1" x14ac:dyDescent="0.25">
      <c r="A2" t="s">
        <v>1</v>
      </c>
    </row>
    <row r="3" spans="1:1" x14ac:dyDescent="0.25">
      <c r="A3" t="s">
        <v>2</v>
      </c>
    </row>
    <row r="4" spans="1:1" x14ac:dyDescent="0.25">
      <c r="A4" t="s">
        <v>3</v>
      </c>
    </row>
    <row r="5" spans="1:1" x14ac:dyDescent="0.25">
      <c r="A5" t="s">
        <v>4</v>
      </c>
    </row>
    <row r="6" spans="1:1" x14ac:dyDescent="0.25">
      <c r="A6" t="s">
        <v>5</v>
      </c>
    </row>
    <row r="7" spans="1:1" x14ac:dyDescent="0.25">
      <c r="A7" t="s">
        <v>6</v>
      </c>
    </row>
    <row r="8" spans="1:1" x14ac:dyDescent="0.25">
      <c r="A8" t="s">
        <v>7</v>
      </c>
    </row>
    <row r="9" spans="1:1" x14ac:dyDescent="0.25">
      <c r="A9" t="s">
        <v>8</v>
      </c>
    </row>
    <row r="10" spans="1:1" x14ac:dyDescent="0.25">
      <c r="A10" t="s">
        <v>9</v>
      </c>
    </row>
    <row r="11" spans="1:1" x14ac:dyDescent="0.25">
      <c r="A11" t="s">
        <v>10</v>
      </c>
    </row>
    <row r="12" spans="1:1" x14ac:dyDescent="0.25">
      <c r="A12" t="s">
        <v>11</v>
      </c>
    </row>
    <row r="13" spans="1:1" x14ac:dyDescent="0.25">
      <c r="A13" t="s">
        <v>12</v>
      </c>
    </row>
    <row r="14" spans="1:1" x14ac:dyDescent="0.25">
      <c r="A14" t="s">
        <v>13</v>
      </c>
    </row>
    <row r="15" spans="1:1" x14ac:dyDescent="0.25">
      <c r="A15" t="s">
        <v>14</v>
      </c>
    </row>
    <row r="16" spans="1:1" x14ac:dyDescent="0.25">
      <c r="A16" t="s">
        <v>15</v>
      </c>
    </row>
    <row r="17" spans="1:1" x14ac:dyDescent="0.25">
      <c r="A17" t="s">
        <v>16</v>
      </c>
    </row>
    <row r="18" spans="1:1" x14ac:dyDescent="0.25">
      <c r="A18" t="s">
        <v>17</v>
      </c>
    </row>
    <row r="19" spans="1:1" x14ac:dyDescent="0.25">
      <c r="A19" t="s">
        <v>18</v>
      </c>
    </row>
    <row r="20" spans="1:1" x14ac:dyDescent="0.25">
      <c r="A20" t="s">
        <v>19</v>
      </c>
    </row>
    <row r="21" spans="1:1" x14ac:dyDescent="0.25">
      <c r="A21" t="s">
        <v>20</v>
      </c>
    </row>
    <row r="22" spans="1:1" x14ac:dyDescent="0.25">
      <c r="A22" t="s">
        <v>21</v>
      </c>
    </row>
    <row r="23" spans="1:1" x14ac:dyDescent="0.25">
      <c r="A23" t="s">
        <v>22</v>
      </c>
    </row>
    <row r="24" spans="1:1" x14ac:dyDescent="0.25">
      <c r="A24" t="s">
        <v>23</v>
      </c>
    </row>
    <row r="25" spans="1:1" x14ac:dyDescent="0.25">
      <c r="A25" t="s">
        <v>24</v>
      </c>
    </row>
    <row r="26" spans="1:1" x14ac:dyDescent="0.25">
      <c r="A26" t="s">
        <v>25</v>
      </c>
    </row>
    <row r="27" spans="1:1" x14ac:dyDescent="0.25">
      <c r="A27" t="s">
        <v>26</v>
      </c>
    </row>
    <row r="28" spans="1:1" x14ac:dyDescent="0.25">
      <c r="A28" t="s">
        <v>27</v>
      </c>
    </row>
    <row r="29" spans="1:1" x14ac:dyDescent="0.25">
      <c r="A29" t="s">
        <v>28</v>
      </c>
    </row>
    <row r="30" spans="1:1" x14ac:dyDescent="0.25">
      <c r="A30" t="s">
        <v>29</v>
      </c>
    </row>
    <row r="31" spans="1:1" x14ac:dyDescent="0.25">
      <c r="A31" t="s">
        <v>30</v>
      </c>
    </row>
    <row r="32" spans="1:1" x14ac:dyDescent="0.25">
      <c r="A32" t="s">
        <v>31</v>
      </c>
    </row>
    <row r="33" spans="1:1" x14ac:dyDescent="0.25">
      <c r="A33" t="s">
        <v>32</v>
      </c>
    </row>
    <row r="34" spans="1:1" x14ac:dyDescent="0.25">
      <c r="A34" t="s">
        <v>33</v>
      </c>
    </row>
    <row r="35" spans="1:1" x14ac:dyDescent="0.25">
      <c r="A35" t="s">
        <v>34</v>
      </c>
    </row>
    <row r="36" spans="1:1" x14ac:dyDescent="0.25">
      <c r="A36" t="s">
        <v>35</v>
      </c>
    </row>
    <row r="37" spans="1:1" x14ac:dyDescent="0.25">
      <c r="A37" t="s">
        <v>36</v>
      </c>
    </row>
    <row r="38" spans="1:1" x14ac:dyDescent="0.25">
      <c r="A38" t="s">
        <v>37</v>
      </c>
    </row>
    <row r="39" spans="1:1" x14ac:dyDescent="0.25">
      <c r="A39" t="s">
        <v>38</v>
      </c>
    </row>
    <row r="40" spans="1:1" x14ac:dyDescent="0.25">
      <c r="A40" t="s">
        <v>39</v>
      </c>
    </row>
    <row r="41" spans="1:1" x14ac:dyDescent="0.25">
      <c r="A41" t="s">
        <v>40</v>
      </c>
    </row>
    <row r="42" spans="1:1" x14ac:dyDescent="0.25">
      <c r="A42" t="s">
        <v>41</v>
      </c>
    </row>
    <row r="43" spans="1:1" x14ac:dyDescent="0.25">
      <c r="A43" t="s">
        <v>42</v>
      </c>
    </row>
    <row r="44" spans="1:1" x14ac:dyDescent="0.25">
      <c r="A44" t="s">
        <v>43</v>
      </c>
    </row>
    <row r="45" spans="1:1" x14ac:dyDescent="0.25">
      <c r="A45" t="s">
        <v>44</v>
      </c>
    </row>
    <row r="46" spans="1:1" x14ac:dyDescent="0.25">
      <c r="A46" t="s">
        <v>45</v>
      </c>
    </row>
    <row r="47" spans="1:1" x14ac:dyDescent="0.25">
      <c r="A47" t="s">
        <v>46</v>
      </c>
    </row>
    <row r="48" spans="1:1" x14ac:dyDescent="0.25">
      <c r="A48" t="s">
        <v>47</v>
      </c>
    </row>
    <row r="49" spans="1:1" x14ac:dyDescent="0.25">
      <c r="A49" t="s">
        <v>48</v>
      </c>
    </row>
    <row r="50" spans="1:1" x14ac:dyDescent="0.25">
      <c r="A50" t="s">
        <v>49</v>
      </c>
    </row>
    <row r="51" spans="1:1" x14ac:dyDescent="0.25">
      <c r="A51" t="s">
        <v>50</v>
      </c>
    </row>
    <row r="52" spans="1:1" x14ac:dyDescent="0.25">
      <c r="A52" t="s">
        <v>51</v>
      </c>
    </row>
    <row r="53" spans="1:1" x14ac:dyDescent="0.25">
      <c r="A53" t="s">
        <v>52</v>
      </c>
    </row>
    <row r="54" spans="1:1" x14ac:dyDescent="0.25">
      <c r="A54" t="s">
        <v>53</v>
      </c>
    </row>
    <row r="55" spans="1:1" x14ac:dyDescent="0.25">
      <c r="A55" t="s">
        <v>54</v>
      </c>
    </row>
    <row r="56" spans="1:1" x14ac:dyDescent="0.25">
      <c r="A56" t="s">
        <v>55</v>
      </c>
    </row>
    <row r="57" spans="1:1" x14ac:dyDescent="0.25">
      <c r="A57" t="s">
        <v>56</v>
      </c>
    </row>
    <row r="58" spans="1:1" x14ac:dyDescent="0.25">
      <c r="A58" t="s">
        <v>57</v>
      </c>
    </row>
    <row r="59" spans="1:1" x14ac:dyDescent="0.25">
      <c r="A59" t="s">
        <v>58</v>
      </c>
    </row>
    <row r="60" spans="1:1" x14ac:dyDescent="0.25">
      <c r="A60" t="s">
        <v>59</v>
      </c>
    </row>
    <row r="61" spans="1:1" x14ac:dyDescent="0.25">
      <c r="A61" t="s">
        <v>60</v>
      </c>
    </row>
    <row r="62" spans="1:1" x14ac:dyDescent="0.25">
      <c r="A62" t="s">
        <v>61</v>
      </c>
    </row>
    <row r="63" spans="1:1" x14ac:dyDescent="0.25">
      <c r="A63" t="s">
        <v>62</v>
      </c>
    </row>
    <row r="64" spans="1:1" x14ac:dyDescent="0.25">
      <c r="A64" t="s">
        <v>63</v>
      </c>
    </row>
    <row r="65" spans="1:1" x14ac:dyDescent="0.25">
      <c r="A65" t="s">
        <v>64</v>
      </c>
    </row>
    <row r="66" spans="1:1" x14ac:dyDescent="0.25">
      <c r="A66" t="s">
        <v>65</v>
      </c>
    </row>
    <row r="67" spans="1:1" x14ac:dyDescent="0.25">
      <c r="A67" t="s">
        <v>66</v>
      </c>
    </row>
    <row r="68" spans="1:1" x14ac:dyDescent="0.25">
      <c r="A68" t="s">
        <v>67</v>
      </c>
    </row>
    <row r="69" spans="1:1" x14ac:dyDescent="0.25">
      <c r="A69" t="s">
        <v>68</v>
      </c>
    </row>
    <row r="70" spans="1:1" x14ac:dyDescent="0.25">
      <c r="A70" t="s">
        <v>69</v>
      </c>
    </row>
    <row r="71" spans="1:1" x14ac:dyDescent="0.25">
      <c r="A71" t="s">
        <v>70</v>
      </c>
    </row>
    <row r="72" spans="1:1" x14ac:dyDescent="0.25">
      <c r="A72" t="s">
        <v>71</v>
      </c>
    </row>
    <row r="73" spans="1:1" x14ac:dyDescent="0.25">
      <c r="A73" t="s">
        <v>72</v>
      </c>
    </row>
    <row r="74" spans="1:1" x14ac:dyDescent="0.25">
      <c r="A74" t="s">
        <v>73</v>
      </c>
    </row>
    <row r="75" spans="1:1" x14ac:dyDescent="0.25">
      <c r="A75" t="s">
        <v>74</v>
      </c>
    </row>
    <row r="76" spans="1:1" x14ac:dyDescent="0.25">
      <c r="A76" t="s">
        <v>75</v>
      </c>
    </row>
    <row r="77" spans="1:1" x14ac:dyDescent="0.25">
      <c r="A77" t="s">
        <v>76</v>
      </c>
    </row>
    <row r="78" spans="1:1" x14ac:dyDescent="0.25">
      <c r="A78" t="s">
        <v>77</v>
      </c>
    </row>
    <row r="79" spans="1:1" x14ac:dyDescent="0.25">
      <c r="A79" t="s">
        <v>78</v>
      </c>
    </row>
    <row r="80" spans="1:1" x14ac:dyDescent="0.25">
      <c r="A80" t="s">
        <v>79</v>
      </c>
    </row>
    <row r="81" spans="1:1" x14ac:dyDescent="0.25">
      <c r="A81" t="s">
        <v>80</v>
      </c>
    </row>
    <row r="82" spans="1:1" x14ac:dyDescent="0.25">
      <c r="A82" t="s">
        <v>81</v>
      </c>
    </row>
    <row r="83" spans="1:1" x14ac:dyDescent="0.25">
      <c r="A83" t="s">
        <v>82</v>
      </c>
    </row>
    <row r="84" spans="1:1" x14ac:dyDescent="0.25">
      <c r="A84" t="s">
        <v>83</v>
      </c>
    </row>
    <row r="85" spans="1:1" x14ac:dyDescent="0.25">
      <c r="A85" t="s">
        <v>84</v>
      </c>
    </row>
    <row r="86" spans="1:1" x14ac:dyDescent="0.25">
      <c r="A86" t="s">
        <v>85</v>
      </c>
    </row>
    <row r="87" spans="1:1" x14ac:dyDescent="0.25">
      <c r="A87" t="s">
        <v>86</v>
      </c>
    </row>
    <row r="88" spans="1:1" x14ac:dyDescent="0.25">
      <c r="A88" t="s">
        <v>87</v>
      </c>
    </row>
    <row r="89" spans="1:1" x14ac:dyDescent="0.25">
      <c r="A89" t="s">
        <v>88</v>
      </c>
    </row>
    <row r="90" spans="1:1" x14ac:dyDescent="0.25">
      <c r="A90" t="s">
        <v>89</v>
      </c>
    </row>
    <row r="91" spans="1:1" x14ac:dyDescent="0.25">
      <c r="A91" t="s">
        <v>90</v>
      </c>
    </row>
    <row r="92" spans="1:1" x14ac:dyDescent="0.25">
      <c r="A92" t="s">
        <v>91</v>
      </c>
    </row>
    <row r="93" spans="1:1" x14ac:dyDescent="0.25">
      <c r="A93" t="s">
        <v>92</v>
      </c>
    </row>
    <row r="94" spans="1:1" x14ac:dyDescent="0.25">
      <c r="A94" t="s">
        <v>93</v>
      </c>
    </row>
    <row r="95" spans="1:1" x14ac:dyDescent="0.25">
      <c r="A95" t="s">
        <v>94</v>
      </c>
    </row>
    <row r="96" spans="1:1" x14ac:dyDescent="0.25">
      <c r="A96" t="s">
        <v>95</v>
      </c>
    </row>
    <row r="97" spans="1:1" x14ac:dyDescent="0.25">
      <c r="A97" t="s">
        <v>96</v>
      </c>
    </row>
    <row r="98" spans="1:1" x14ac:dyDescent="0.25">
      <c r="A98" t="s">
        <v>97</v>
      </c>
    </row>
    <row r="99" spans="1:1" x14ac:dyDescent="0.25">
      <c r="A99" t="s">
        <v>98</v>
      </c>
    </row>
    <row r="100" spans="1:1" x14ac:dyDescent="0.25">
      <c r="A100" t="s">
        <v>99</v>
      </c>
    </row>
    <row r="101" spans="1:1" x14ac:dyDescent="0.25">
      <c r="A101" t="s">
        <v>100</v>
      </c>
    </row>
    <row r="102" spans="1:1" x14ac:dyDescent="0.25">
      <c r="A102" t="s">
        <v>101</v>
      </c>
    </row>
    <row r="103" spans="1:1" x14ac:dyDescent="0.25">
      <c r="A103" t="s">
        <v>102</v>
      </c>
    </row>
    <row r="104" spans="1:1" x14ac:dyDescent="0.25">
      <c r="A104" t="s">
        <v>103</v>
      </c>
    </row>
    <row r="105" spans="1:1" x14ac:dyDescent="0.25">
      <c r="A105" t="s">
        <v>104</v>
      </c>
    </row>
    <row r="106" spans="1:1" x14ac:dyDescent="0.25">
      <c r="A106" t="s">
        <v>105</v>
      </c>
    </row>
    <row r="107" spans="1:1" x14ac:dyDescent="0.25">
      <c r="A107" t="s">
        <v>106</v>
      </c>
    </row>
    <row r="108" spans="1:1" x14ac:dyDescent="0.25">
      <c r="A108" t="s">
        <v>107</v>
      </c>
    </row>
    <row r="109" spans="1:1" x14ac:dyDescent="0.25">
      <c r="A109" t="s">
        <v>108</v>
      </c>
    </row>
    <row r="110" spans="1:1" x14ac:dyDescent="0.25">
      <c r="A110" t="s">
        <v>109</v>
      </c>
    </row>
    <row r="111" spans="1:1" x14ac:dyDescent="0.25">
      <c r="A111" t="s">
        <v>110</v>
      </c>
    </row>
    <row r="112" spans="1:1" x14ac:dyDescent="0.25">
      <c r="A112" t="s">
        <v>111</v>
      </c>
    </row>
    <row r="113" spans="1:1" x14ac:dyDescent="0.25">
      <c r="A113" t="s">
        <v>112</v>
      </c>
    </row>
    <row r="114" spans="1:1" x14ac:dyDescent="0.25">
      <c r="A114" t="s">
        <v>113</v>
      </c>
    </row>
    <row r="115" spans="1:1" x14ac:dyDescent="0.25">
      <c r="A115" t="s">
        <v>114</v>
      </c>
    </row>
    <row r="116" spans="1:1" x14ac:dyDescent="0.25">
      <c r="A116" t="s">
        <v>115</v>
      </c>
    </row>
    <row r="117" spans="1:1" x14ac:dyDescent="0.25">
      <c r="A117" t="s">
        <v>116</v>
      </c>
    </row>
    <row r="118" spans="1:1" x14ac:dyDescent="0.25">
      <c r="A118" t="s">
        <v>117</v>
      </c>
    </row>
    <row r="119" spans="1:1" x14ac:dyDescent="0.25">
      <c r="A119" t="s">
        <v>118</v>
      </c>
    </row>
    <row r="120" spans="1:1" x14ac:dyDescent="0.25">
      <c r="A120" t="s">
        <v>119</v>
      </c>
    </row>
    <row r="121" spans="1:1" x14ac:dyDescent="0.25">
      <c r="A121" t="s">
        <v>120</v>
      </c>
    </row>
    <row r="122" spans="1:1" x14ac:dyDescent="0.25">
      <c r="A122" t="s">
        <v>121</v>
      </c>
    </row>
    <row r="123" spans="1:1" x14ac:dyDescent="0.25">
      <c r="A123" t="s">
        <v>122</v>
      </c>
    </row>
    <row r="124" spans="1:1" x14ac:dyDescent="0.25">
      <c r="A124" t="s">
        <v>123</v>
      </c>
    </row>
    <row r="125" spans="1:1" x14ac:dyDescent="0.25">
      <c r="A125" t="s">
        <v>124</v>
      </c>
    </row>
    <row r="126" spans="1:1" x14ac:dyDescent="0.25">
      <c r="A126" t="s">
        <v>125</v>
      </c>
    </row>
    <row r="127" spans="1:1" x14ac:dyDescent="0.25">
      <c r="A127" t="s">
        <v>126</v>
      </c>
    </row>
    <row r="128" spans="1:1" x14ac:dyDescent="0.25">
      <c r="A128" t="s">
        <v>127</v>
      </c>
    </row>
    <row r="129" spans="1:1" x14ac:dyDescent="0.25">
      <c r="A129" t="s">
        <v>128</v>
      </c>
    </row>
    <row r="130" spans="1:1" x14ac:dyDescent="0.25">
      <c r="A130" t="s">
        <v>129</v>
      </c>
    </row>
    <row r="131" spans="1:1" x14ac:dyDescent="0.25">
      <c r="A131" t="s">
        <v>130</v>
      </c>
    </row>
    <row r="132" spans="1:1" x14ac:dyDescent="0.25">
      <c r="A132" t="s">
        <v>131</v>
      </c>
    </row>
    <row r="133" spans="1:1" x14ac:dyDescent="0.25">
      <c r="A133" t="s">
        <v>132</v>
      </c>
    </row>
    <row r="134" spans="1:1" x14ac:dyDescent="0.25">
      <c r="A134" t="s">
        <v>133</v>
      </c>
    </row>
    <row r="135" spans="1:1" x14ac:dyDescent="0.25">
      <c r="A135" t="s">
        <v>134</v>
      </c>
    </row>
    <row r="136" spans="1:1" x14ac:dyDescent="0.25">
      <c r="A136" t="s">
        <v>135</v>
      </c>
    </row>
    <row r="137" spans="1:1" x14ac:dyDescent="0.25">
      <c r="A137" t="s">
        <v>136</v>
      </c>
    </row>
    <row r="138" spans="1:1" x14ac:dyDescent="0.25">
      <c r="A138" t="s">
        <v>137</v>
      </c>
    </row>
    <row r="139" spans="1:1" x14ac:dyDescent="0.25">
      <c r="A139" t="s">
        <v>138</v>
      </c>
    </row>
    <row r="140" spans="1:1" x14ac:dyDescent="0.25">
      <c r="A140" t="s">
        <v>139</v>
      </c>
    </row>
    <row r="141" spans="1:1" x14ac:dyDescent="0.25">
      <c r="A141" t="s">
        <v>140</v>
      </c>
    </row>
    <row r="142" spans="1:1" x14ac:dyDescent="0.25">
      <c r="A142" t="s">
        <v>141</v>
      </c>
    </row>
    <row r="143" spans="1:1" x14ac:dyDescent="0.25">
      <c r="A143" t="s">
        <v>142</v>
      </c>
    </row>
    <row r="144" spans="1:1" x14ac:dyDescent="0.25">
      <c r="A144" t="s">
        <v>143</v>
      </c>
    </row>
    <row r="145" spans="1:1" x14ac:dyDescent="0.25">
      <c r="A145" t="s">
        <v>144</v>
      </c>
    </row>
    <row r="146" spans="1:1" x14ac:dyDescent="0.25">
      <c r="A146" t="s">
        <v>145</v>
      </c>
    </row>
    <row r="147" spans="1:1" x14ac:dyDescent="0.25">
      <c r="A147" t="s">
        <v>146</v>
      </c>
    </row>
    <row r="148" spans="1:1" x14ac:dyDescent="0.25">
      <c r="A148" t="s">
        <v>147</v>
      </c>
    </row>
    <row r="149" spans="1:1" x14ac:dyDescent="0.25">
      <c r="A149" t="s">
        <v>148</v>
      </c>
    </row>
    <row r="150" spans="1:1" x14ac:dyDescent="0.25">
      <c r="A150" t="s">
        <v>149</v>
      </c>
    </row>
    <row r="151" spans="1:1" x14ac:dyDescent="0.25">
      <c r="A151" t="s">
        <v>150</v>
      </c>
    </row>
    <row r="152" spans="1:1" x14ac:dyDescent="0.25">
      <c r="A152" t="s">
        <v>151</v>
      </c>
    </row>
    <row r="153" spans="1:1" x14ac:dyDescent="0.25">
      <c r="A153" t="s">
        <v>152</v>
      </c>
    </row>
    <row r="154" spans="1:1" x14ac:dyDescent="0.25">
      <c r="A154" t="s">
        <v>153</v>
      </c>
    </row>
    <row r="155" spans="1:1" x14ac:dyDescent="0.25">
      <c r="A155" t="s">
        <v>154</v>
      </c>
    </row>
    <row r="156" spans="1:1" x14ac:dyDescent="0.25">
      <c r="A156" t="s">
        <v>155</v>
      </c>
    </row>
    <row r="157" spans="1:1" x14ac:dyDescent="0.25">
      <c r="A157" t="s">
        <v>156</v>
      </c>
    </row>
    <row r="158" spans="1:1" x14ac:dyDescent="0.25">
      <c r="A158" t="s">
        <v>157</v>
      </c>
    </row>
    <row r="159" spans="1:1" x14ac:dyDescent="0.25">
      <c r="A159" t="s">
        <v>158</v>
      </c>
    </row>
    <row r="160" spans="1:1" x14ac:dyDescent="0.25">
      <c r="A160" t="s">
        <v>159</v>
      </c>
    </row>
    <row r="161" spans="1:1" x14ac:dyDescent="0.25">
      <c r="A161" t="s">
        <v>160</v>
      </c>
    </row>
    <row r="162" spans="1:1" x14ac:dyDescent="0.25">
      <c r="A162" t="s">
        <v>161</v>
      </c>
    </row>
    <row r="163" spans="1:1" x14ac:dyDescent="0.25">
      <c r="A163" t="s">
        <v>162</v>
      </c>
    </row>
    <row r="164" spans="1:1" x14ac:dyDescent="0.25">
      <c r="A164" t="s">
        <v>163</v>
      </c>
    </row>
    <row r="165" spans="1:1" x14ac:dyDescent="0.25">
      <c r="A165" t="s">
        <v>164</v>
      </c>
    </row>
    <row r="166" spans="1:1" x14ac:dyDescent="0.25">
      <c r="A166" t="s">
        <v>165</v>
      </c>
    </row>
    <row r="167" spans="1:1" x14ac:dyDescent="0.25">
      <c r="A167" t="s">
        <v>166</v>
      </c>
    </row>
    <row r="168" spans="1:1" x14ac:dyDescent="0.25">
      <c r="A168" t="s">
        <v>167</v>
      </c>
    </row>
    <row r="169" spans="1:1" x14ac:dyDescent="0.25">
      <c r="A169" t="s">
        <v>168</v>
      </c>
    </row>
    <row r="170" spans="1:1" x14ac:dyDescent="0.25">
      <c r="A170" t="s">
        <v>169</v>
      </c>
    </row>
    <row r="171" spans="1:1" x14ac:dyDescent="0.25">
      <c r="A171" t="s">
        <v>170</v>
      </c>
    </row>
    <row r="172" spans="1:1" x14ac:dyDescent="0.25">
      <c r="A172" t="s">
        <v>171</v>
      </c>
    </row>
    <row r="173" spans="1:1" x14ac:dyDescent="0.25">
      <c r="A173" t="s">
        <v>172</v>
      </c>
    </row>
    <row r="174" spans="1:1" x14ac:dyDescent="0.25">
      <c r="A174" t="s">
        <v>173</v>
      </c>
    </row>
    <row r="175" spans="1:1" x14ac:dyDescent="0.25">
      <c r="A175" t="s">
        <v>174</v>
      </c>
    </row>
    <row r="176" spans="1:1" x14ac:dyDescent="0.25">
      <c r="A176" t="s">
        <v>175</v>
      </c>
    </row>
    <row r="177" spans="1:1" x14ac:dyDescent="0.25">
      <c r="A177" t="s">
        <v>176</v>
      </c>
    </row>
    <row r="178" spans="1:1" x14ac:dyDescent="0.25">
      <c r="A178" t="s">
        <v>177</v>
      </c>
    </row>
    <row r="179" spans="1:1" x14ac:dyDescent="0.25">
      <c r="A179" t="s">
        <v>178</v>
      </c>
    </row>
    <row r="180" spans="1:1" x14ac:dyDescent="0.25">
      <c r="A180" t="s">
        <v>179</v>
      </c>
    </row>
    <row r="181" spans="1:1" x14ac:dyDescent="0.25">
      <c r="A181" t="s">
        <v>180</v>
      </c>
    </row>
    <row r="182" spans="1:1" x14ac:dyDescent="0.25">
      <c r="A182" t="s">
        <v>181</v>
      </c>
    </row>
    <row r="183" spans="1:1" x14ac:dyDescent="0.25">
      <c r="A183" t="s">
        <v>182</v>
      </c>
    </row>
    <row r="184" spans="1:1" x14ac:dyDescent="0.25">
      <c r="A184" t="s">
        <v>183</v>
      </c>
    </row>
    <row r="185" spans="1:1" x14ac:dyDescent="0.25">
      <c r="A185" t="s">
        <v>184</v>
      </c>
    </row>
    <row r="186" spans="1:1" x14ac:dyDescent="0.25">
      <c r="A186" t="s">
        <v>185</v>
      </c>
    </row>
    <row r="187" spans="1:1" x14ac:dyDescent="0.25">
      <c r="A187" t="s">
        <v>186</v>
      </c>
    </row>
    <row r="188" spans="1:1" x14ac:dyDescent="0.25">
      <c r="A188" t="s">
        <v>187</v>
      </c>
    </row>
    <row r="189" spans="1:1" x14ac:dyDescent="0.25">
      <c r="A189" t="s">
        <v>188</v>
      </c>
    </row>
    <row r="190" spans="1:1" x14ac:dyDescent="0.25">
      <c r="A190" t="s">
        <v>189</v>
      </c>
    </row>
    <row r="191" spans="1:1" x14ac:dyDescent="0.25">
      <c r="A191" t="s">
        <v>190</v>
      </c>
    </row>
    <row r="192" spans="1:1" x14ac:dyDescent="0.25">
      <c r="A192" t="s">
        <v>191</v>
      </c>
    </row>
    <row r="193" spans="1:1" x14ac:dyDescent="0.25">
      <c r="A193" t="s">
        <v>192</v>
      </c>
    </row>
    <row r="194" spans="1:1" x14ac:dyDescent="0.25">
      <c r="A194" t="s">
        <v>193</v>
      </c>
    </row>
    <row r="195" spans="1:1" x14ac:dyDescent="0.25">
      <c r="A195" t="s">
        <v>194</v>
      </c>
    </row>
    <row r="196" spans="1:1" x14ac:dyDescent="0.25">
      <c r="A196" t="s">
        <v>195</v>
      </c>
    </row>
    <row r="197" spans="1:1" x14ac:dyDescent="0.25">
      <c r="A197" t="s">
        <v>196</v>
      </c>
    </row>
    <row r="198" spans="1:1" x14ac:dyDescent="0.25">
      <c r="A198" t="s">
        <v>197</v>
      </c>
    </row>
    <row r="199" spans="1:1" x14ac:dyDescent="0.25">
      <c r="A199" t="s">
        <v>198</v>
      </c>
    </row>
    <row r="200" spans="1:1" x14ac:dyDescent="0.25">
      <c r="A200" t="s">
        <v>199</v>
      </c>
    </row>
    <row r="201" spans="1:1" x14ac:dyDescent="0.25">
      <c r="A201" t="s">
        <v>200</v>
      </c>
    </row>
    <row r="202" spans="1:1" x14ac:dyDescent="0.25">
      <c r="A202" t="s">
        <v>201</v>
      </c>
    </row>
    <row r="203" spans="1:1" x14ac:dyDescent="0.25">
      <c r="A203" t="s">
        <v>202</v>
      </c>
    </row>
    <row r="204" spans="1:1" x14ac:dyDescent="0.25">
      <c r="A204" t="s">
        <v>203</v>
      </c>
    </row>
    <row r="205" spans="1:1" x14ac:dyDescent="0.25">
      <c r="A205" t="s">
        <v>204</v>
      </c>
    </row>
    <row r="206" spans="1:1" x14ac:dyDescent="0.25">
      <c r="A206" t="s">
        <v>205</v>
      </c>
    </row>
    <row r="207" spans="1:1" x14ac:dyDescent="0.25">
      <c r="A207" t="s">
        <v>206</v>
      </c>
    </row>
    <row r="208" spans="1:1" x14ac:dyDescent="0.25">
      <c r="A208" t="s">
        <v>207</v>
      </c>
    </row>
    <row r="209" spans="1:1" x14ac:dyDescent="0.25">
      <c r="A209" t="s">
        <v>208</v>
      </c>
    </row>
    <row r="210" spans="1:1" x14ac:dyDescent="0.25">
      <c r="A210" t="s">
        <v>209</v>
      </c>
    </row>
    <row r="211" spans="1:1" x14ac:dyDescent="0.25">
      <c r="A211" t="s">
        <v>210</v>
      </c>
    </row>
    <row r="212" spans="1:1" x14ac:dyDescent="0.25">
      <c r="A212" t="s">
        <v>211</v>
      </c>
    </row>
    <row r="213" spans="1:1" x14ac:dyDescent="0.25">
      <c r="A213" t="s">
        <v>212</v>
      </c>
    </row>
    <row r="214" spans="1:1" x14ac:dyDescent="0.25">
      <c r="A214" t="s">
        <v>213</v>
      </c>
    </row>
    <row r="215" spans="1:1" x14ac:dyDescent="0.25">
      <c r="A215" t="s">
        <v>214</v>
      </c>
    </row>
    <row r="216" spans="1:1" x14ac:dyDescent="0.25">
      <c r="A216" t="s">
        <v>215</v>
      </c>
    </row>
    <row r="217" spans="1:1" x14ac:dyDescent="0.25">
      <c r="A217" t="s">
        <v>216</v>
      </c>
    </row>
    <row r="218" spans="1:1" x14ac:dyDescent="0.25">
      <c r="A218" t="s">
        <v>217</v>
      </c>
    </row>
    <row r="219" spans="1:1" x14ac:dyDescent="0.25">
      <c r="A219" t="s">
        <v>218</v>
      </c>
    </row>
    <row r="220" spans="1:1" x14ac:dyDescent="0.25">
      <c r="A220" t="s">
        <v>219</v>
      </c>
    </row>
    <row r="221" spans="1:1" x14ac:dyDescent="0.25">
      <c r="A221" t="s">
        <v>220</v>
      </c>
    </row>
    <row r="222" spans="1:1" x14ac:dyDescent="0.25">
      <c r="A222" t="s">
        <v>221</v>
      </c>
    </row>
    <row r="223" spans="1:1" x14ac:dyDescent="0.25">
      <c r="A223" t="s">
        <v>222</v>
      </c>
    </row>
    <row r="224" spans="1:1" x14ac:dyDescent="0.25">
      <c r="A224" t="s">
        <v>223</v>
      </c>
    </row>
    <row r="225" spans="1:1" x14ac:dyDescent="0.25">
      <c r="A225" t="s">
        <v>224</v>
      </c>
    </row>
    <row r="226" spans="1:1" x14ac:dyDescent="0.25">
      <c r="A226" t="s">
        <v>225</v>
      </c>
    </row>
    <row r="227" spans="1:1" x14ac:dyDescent="0.25">
      <c r="A227" t="s">
        <v>226</v>
      </c>
    </row>
    <row r="228" spans="1:1" x14ac:dyDescent="0.25">
      <c r="A228" t="s">
        <v>227</v>
      </c>
    </row>
    <row r="229" spans="1:1" x14ac:dyDescent="0.25">
      <c r="A229" t="s">
        <v>228</v>
      </c>
    </row>
    <row r="230" spans="1:1" x14ac:dyDescent="0.25">
      <c r="A230" t="s">
        <v>229</v>
      </c>
    </row>
    <row r="231" spans="1:1" x14ac:dyDescent="0.25">
      <c r="A231" t="s">
        <v>230</v>
      </c>
    </row>
    <row r="232" spans="1:1" x14ac:dyDescent="0.25">
      <c r="A232" t="s">
        <v>231</v>
      </c>
    </row>
    <row r="233" spans="1:1" x14ac:dyDescent="0.25">
      <c r="A233" t="s">
        <v>232</v>
      </c>
    </row>
    <row r="234" spans="1:1" x14ac:dyDescent="0.25">
      <c r="A234" t="s">
        <v>233</v>
      </c>
    </row>
    <row r="235" spans="1:1" x14ac:dyDescent="0.25">
      <c r="A235" t="s">
        <v>234</v>
      </c>
    </row>
    <row r="236" spans="1:1" x14ac:dyDescent="0.25">
      <c r="A236" t="s">
        <v>235</v>
      </c>
    </row>
    <row r="237" spans="1:1" x14ac:dyDescent="0.25">
      <c r="A237" t="s">
        <v>236</v>
      </c>
    </row>
    <row r="238" spans="1:1" x14ac:dyDescent="0.25">
      <c r="A238" t="s">
        <v>237</v>
      </c>
    </row>
    <row r="239" spans="1:1" x14ac:dyDescent="0.25">
      <c r="A239" t="s">
        <v>238</v>
      </c>
    </row>
    <row r="240" spans="1:1" x14ac:dyDescent="0.25">
      <c r="A240" t="s">
        <v>239</v>
      </c>
    </row>
    <row r="241" spans="1:1" x14ac:dyDescent="0.25">
      <c r="A241" t="s">
        <v>240</v>
      </c>
    </row>
    <row r="242" spans="1:1" x14ac:dyDescent="0.25">
      <c r="A242" t="s">
        <v>241</v>
      </c>
    </row>
    <row r="243" spans="1:1" x14ac:dyDescent="0.25">
      <c r="A243" t="s">
        <v>242</v>
      </c>
    </row>
    <row r="244" spans="1:1" x14ac:dyDescent="0.25">
      <c r="A244" t="s">
        <v>243</v>
      </c>
    </row>
    <row r="245" spans="1:1" x14ac:dyDescent="0.25">
      <c r="A245" t="s">
        <v>244</v>
      </c>
    </row>
    <row r="246" spans="1:1" x14ac:dyDescent="0.25">
      <c r="A246" t="s">
        <v>245</v>
      </c>
    </row>
    <row r="247" spans="1:1" x14ac:dyDescent="0.25">
      <c r="A247" t="s">
        <v>246</v>
      </c>
    </row>
    <row r="248" spans="1:1" x14ac:dyDescent="0.25">
      <c r="A248" t="s">
        <v>247</v>
      </c>
    </row>
    <row r="249" spans="1:1" x14ac:dyDescent="0.25">
      <c r="A249" t="s">
        <v>248</v>
      </c>
    </row>
    <row r="250" spans="1:1" x14ac:dyDescent="0.25">
      <c r="A250" t="s">
        <v>249</v>
      </c>
    </row>
    <row r="251" spans="1:1" x14ac:dyDescent="0.25">
      <c r="A251" t="s">
        <v>250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8A1A2-3634-40A6-A288-3B6E04E9678F}">
  <dimension ref="A2:B29"/>
  <sheetViews>
    <sheetView workbookViewId="0"/>
  </sheetViews>
  <sheetFormatPr defaultRowHeight="15" x14ac:dyDescent="0.25"/>
  <cols>
    <col min="1" max="1" width="28" bestFit="1" customWidth="1"/>
    <col min="2" max="4" width="22.85546875" bestFit="1" customWidth="1"/>
  </cols>
  <sheetData>
    <row r="2" spans="1:2" x14ac:dyDescent="0.25">
      <c r="A2" s="8" t="s">
        <v>254</v>
      </c>
      <c r="B2" t="s">
        <v>564</v>
      </c>
    </row>
    <row r="4" spans="1:2" x14ac:dyDescent="0.25">
      <c r="A4" s="8" t="s">
        <v>559</v>
      </c>
      <c r="B4" t="s">
        <v>561</v>
      </c>
    </row>
    <row r="5" spans="1:2" x14ac:dyDescent="0.25">
      <c r="A5" s="9" t="s">
        <v>321</v>
      </c>
      <c r="B5" s="10">
        <v>1.7841823056300268</v>
      </c>
    </row>
    <row r="6" spans="1:2" x14ac:dyDescent="0.25">
      <c r="A6" s="9" t="s">
        <v>263</v>
      </c>
      <c r="B6" s="10">
        <v>1.3890552681731554</v>
      </c>
    </row>
    <row r="7" spans="1:2" x14ac:dyDescent="0.25">
      <c r="A7" s="9" t="s">
        <v>317</v>
      </c>
      <c r="B7" s="10">
        <v>1.2995433789954338</v>
      </c>
    </row>
    <row r="8" spans="1:2" x14ac:dyDescent="0.25">
      <c r="A8" s="9" t="s">
        <v>365</v>
      </c>
      <c r="B8" s="10">
        <v>0.91609589041095896</v>
      </c>
    </row>
    <row r="9" spans="1:2" x14ac:dyDescent="0.25">
      <c r="A9" s="9" t="s">
        <v>259</v>
      </c>
      <c r="B9" s="10">
        <v>4.5829959514170042</v>
      </c>
    </row>
    <row r="10" spans="1:2" x14ac:dyDescent="0.25">
      <c r="A10" s="9" t="s">
        <v>341</v>
      </c>
      <c r="B10" s="10">
        <v>0.69379844961240311</v>
      </c>
    </row>
    <row r="11" spans="1:2" x14ac:dyDescent="0.25">
      <c r="A11" s="9" t="s">
        <v>310</v>
      </c>
      <c r="B11" s="10">
        <v>2.4521857923497268</v>
      </c>
    </row>
    <row r="12" spans="1:2" x14ac:dyDescent="0.25">
      <c r="A12" s="9" t="s">
        <v>267</v>
      </c>
      <c r="B12" s="10">
        <v>0.95825545171339566</v>
      </c>
    </row>
    <row r="13" spans="1:2" x14ac:dyDescent="0.25">
      <c r="A13" s="9" t="s">
        <v>358</v>
      </c>
      <c r="B13" s="10">
        <v>1.5365853658536586</v>
      </c>
    </row>
    <row r="14" spans="1:2" x14ac:dyDescent="0.25">
      <c r="A14" s="9" t="s">
        <v>329</v>
      </c>
      <c r="B14" s="10">
        <v>1.8547717842323652</v>
      </c>
    </row>
    <row r="15" spans="1:2" x14ac:dyDescent="0.25">
      <c r="A15" s="9" t="s">
        <v>311</v>
      </c>
      <c r="B15" s="10">
        <v>3.6149068322981366</v>
      </c>
    </row>
    <row r="16" spans="1:2" x14ac:dyDescent="0.25">
      <c r="A16" s="9" t="s">
        <v>306</v>
      </c>
      <c r="B16" s="10">
        <v>1.1098901098901099</v>
      </c>
    </row>
    <row r="17" spans="1:2" x14ac:dyDescent="0.25">
      <c r="A17" s="9" t="s">
        <v>324</v>
      </c>
      <c r="B17" s="10">
        <v>2.7264957264957266</v>
      </c>
    </row>
    <row r="18" spans="1:2" x14ac:dyDescent="0.25">
      <c r="A18" s="9" t="s">
        <v>291</v>
      </c>
      <c r="B18" s="10">
        <v>1.5621934908604547</v>
      </c>
    </row>
    <row r="19" spans="1:2" x14ac:dyDescent="0.25">
      <c r="A19" s="9" t="s">
        <v>276</v>
      </c>
      <c r="B19" s="10">
        <v>1.1183271832718327</v>
      </c>
    </row>
    <row r="20" spans="1:2" x14ac:dyDescent="0.25">
      <c r="A20" s="9" t="s">
        <v>255</v>
      </c>
      <c r="B20" s="10">
        <v>2.9186768741874909</v>
      </c>
    </row>
    <row r="21" spans="1:2" x14ac:dyDescent="0.25">
      <c r="A21" s="9" t="s">
        <v>284</v>
      </c>
      <c r="B21" s="10">
        <v>1.5395799676898223</v>
      </c>
    </row>
    <row r="22" spans="1:2" x14ac:dyDescent="0.25">
      <c r="A22" s="9" t="s">
        <v>275</v>
      </c>
      <c r="B22" s="10">
        <v>1.3292682926829269</v>
      </c>
    </row>
    <row r="23" spans="1:2" x14ac:dyDescent="0.25">
      <c r="A23" s="9" t="s">
        <v>257</v>
      </c>
      <c r="B23" s="10">
        <v>1.4206924048109508</v>
      </c>
    </row>
    <row r="24" spans="1:2" x14ac:dyDescent="0.25">
      <c r="A24" s="9" t="s">
        <v>325</v>
      </c>
      <c r="B24" s="10">
        <v>1.6493055555555556</v>
      </c>
    </row>
    <row r="25" spans="1:2" x14ac:dyDescent="0.25">
      <c r="A25" s="9" t="s">
        <v>342</v>
      </c>
      <c r="B25" s="10">
        <v>0.99860139860139863</v>
      </c>
    </row>
    <row r="26" spans="1:2" x14ac:dyDescent="0.25">
      <c r="A26" s="9" t="s">
        <v>266</v>
      </c>
      <c r="B26" s="10">
        <v>1.6681476418318524</v>
      </c>
    </row>
    <row r="27" spans="1:2" x14ac:dyDescent="0.25">
      <c r="A27" s="9" t="s">
        <v>299</v>
      </c>
      <c r="B27" s="10">
        <v>3.0795180722891566</v>
      </c>
    </row>
    <row r="28" spans="1:2" x14ac:dyDescent="0.25">
      <c r="A28" s="9" t="s">
        <v>353</v>
      </c>
      <c r="B28" s="10">
        <v>1.5606469002695418</v>
      </c>
    </row>
    <row r="29" spans="1:2" x14ac:dyDescent="0.25">
      <c r="A29" s="9" t="s">
        <v>560</v>
      </c>
      <c r="B29" s="10">
        <v>43.763720089123083</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80EF9-C643-48C7-B455-E53C7A640FCA}">
  <dimension ref="A1:K251"/>
  <sheetViews>
    <sheetView workbookViewId="0">
      <pane ySplit="1" topLeftCell="A228" activePane="bottomLeft" state="frozen"/>
      <selection pane="bottomLeft" sqref="A1:J251"/>
    </sheetView>
  </sheetViews>
  <sheetFormatPr defaultRowHeight="15" x14ac:dyDescent="0.25"/>
  <cols>
    <col min="1" max="1" width="5.28515625" bestFit="1" customWidth="1"/>
    <col min="2" max="2" width="37" bestFit="1" customWidth="1"/>
    <col min="3" max="3" width="13.28515625" style="3" customWidth="1"/>
    <col min="4" max="4" width="15" style="3" bestFit="1" customWidth="1"/>
    <col min="5" max="5" width="6" customWidth="1"/>
    <col min="6" max="6" width="13.140625" style="2" bestFit="1" customWidth="1"/>
    <col min="7" max="7" width="29.85546875" customWidth="1"/>
    <col min="8" max="8" width="16.42578125" style="3" bestFit="1" customWidth="1"/>
    <col min="9" max="9" width="9.5703125" bestFit="1" customWidth="1"/>
    <col min="10" max="10" width="15.5703125" bestFit="1" customWidth="1"/>
  </cols>
  <sheetData>
    <row r="1" spans="1:11" x14ac:dyDescent="0.25">
      <c r="A1" t="s">
        <v>251</v>
      </c>
      <c r="B1" t="s">
        <v>252</v>
      </c>
      <c r="C1" s="3" t="s">
        <v>554</v>
      </c>
      <c r="D1" s="3" t="s">
        <v>555</v>
      </c>
      <c r="E1" t="s">
        <v>253</v>
      </c>
      <c r="F1" s="2" t="s">
        <v>556</v>
      </c>
      <c r="G1" t="s">
        <v>254</v>
      </c>
      <c r="H1" s="3" t="s">
        <v>557</v>
      </c>
      <c r="I1" t="s">
        <v>553</v>
      </c>
      <c r="J1" t="s">
        <v>558</v>
      </c>
    </row>
    <row r="2" spans="1:11" x14ac:dyDescent="0.25">
      <c r="A2">
        <v>1</v>
      </c>
      <c r="B2" t="s">
        <v>255</v>
      </c>
      <c r="C2" s="3">
        <v>40412</v>
      </c>
      <c r="D2" s="3">
        <v>4.9000000000000004</v>
      </c>
      <c r="E2">
        <v>13846</v>
      </c>
      <c r="F2" s="2">
        <v>-0.5</v>
      </c>
      <c r="G2" t="s">
        <v>256</v>
      </c>
      <c r="H2" s="3">
        <f>C2/(100+D2)*100</f>
        <v>38524.308865586274</v>
      </c>
      <c r="I2" s="7">
        <f>E2*100/(100+F2)</f>
        <v>13915.577889447237</v>
      </c>
      <c r="J2" s="5">
        <f>C2/E2</f>
        <v>2.9186768741874909</v>
      </c>
    </row>
    <row r="3" spans="1:11" x14ac:dyDescent="0.25">
      <c r="A3">
        <v>2</v>
      </c>
      <c r="B3" t="s">
        <v>257</v>
      </c>
      <c r="C3" s="3">
        <v>21380</v>
      </c>
      <c r="D3" s="3">
        <v>8.6</v>
      </c>
      <c r="E3">
        <v>15049</v>
      </c>
      <c r="F3" s="2">
        <v>3</v>
      </c>
      <c r="G3" t="s">
        <v>258</v>
      </c>
      <c r="H3" s="3">
        <f>C3/(100+D3)*100</f>
        <v>19686.924493554328</v>
      </c>
      <c r="I3" s="7">
        <f>E3*100/(100+F3)</f>
        <v>14610.679611650485</v>
      </c>
      <c r="J3" s="5">
        <f>C3/E3</f>
        <v>1.4206924048109508</v>
      </c>
    </row>
    <row r="4" spans="1:11" x14ac:dyDescent="0.25">
      <c r="A4">
        <v>3</v>
      </c>
      <c r="B4" t="s">
        <v>259</v>
      </c>
      <c r="C4" s="3">
        <v>11320</v>
      </c>
      <c r="D4" s="3">
        <v>13</v>
      </c>
      <c r="E4">
        <v>2470</v>
      </c>
      <c r="F4" s="2">
        <v>5</v>
      </c>
      <c r="G4" t="s">
        <v>260</v>
      </c>
      <c r="H4" s="3">
        <f>C4/(100+D4)*100</f>
        <v>10017.699115044248</v>
      </c>
      <c r="I4" s="7">
        <f>E4*100/(100+F4)</f>
        <v>2352.3809523809523</v>
      </c>
      <c r="J4" s="5">
        <f>C4/E4</f>
        <v>4.5829959514170042</v>
      </c>
    </row>
    <row r="5" spans="1:11" x14ac:dyDescent="0.25">
      <c r="A5">
        <v>4</v>
      </c>
      <c r="B5" t="s">
        <v>261</v>
      </c>
      <c r="C5" s="3">
        <v>11293</v>
      </c>
      <c r="D5" s="3">
        <v>9</v>
      </c>
      <c r="E5">
        <v>6766</v>
      </c>
      <c r="F5" s="2">
        <v>2.7</v>
      </c>
      <c r="G5" t="s">
        <v>262</v>
      </c>
      <c r="H5" s="3">
        <f>C5/(100+D5)*100</f>
        <v>10360.550458715596</v>
      </c>
      <c r="I5" s="7">
        <f>E5*100/(100+F5)</f>
        <v>6588.1207400194744</v>
      </c>
      <c r="J5" s="5">
        <f>C5/E5</f>
        <v>1.6690806976056753</v>
      </c>
    </row>
    <row r="6" spans="1:11" x14ac:dyDescent="0.25">
      <c r="A6">
        <v>5</v>
      </c>
      <c r="B6" t="s">
        <v>263</v>
      </c>
      <c r="C6" s="3">
        <v>10204</v>
      </c>
      <c r="D6" s="3">
        <v>2.7</v>
      </c>
      <c r="E6">
        <v>7346</v>
      </c>
      <c r="F6" s="2">
        <v>0.2</v>
      </c>
      <c r="G6" t="s">
        <v>256</v>
      </c>
      <c r="H6" s="3">
        <f>C6/(100+D6)*100</f>
        <v>9935.7351509250238</v>
      </c>
      <c r="I6" s="7">
        <f>E6*100/(100+F6)</f>
        <v>7331.337325349301</v>
      </c>
      <c r="J6" s="5">
        <f>C6/E6</f>
        <v>1.3890552681731554</v>
      </c>
    </row>
    <row r="7" spans="1:11" x14ac:dyDescent="0.25">
      <c r="A7">
        <v>6</v>
      </c>
      <c r="B7" t="s">
        <v>264</v>
      </c>
      <c r="C7" s="3">
        <v>10200</v>
      </c>
      <c r="D7" s="3">
        <v>-2</v>
      </c>
      <c r="E7">
        <v>23801</v>
      </c>
      <c r="F7" s="2">
        <v>-4</v>
      </c>
      <c r="G7" t="s">
        <v>265</v>
      </c>
      <c r="H7" s="3">
        <f>C7/(100+D7)*100</f>
        <v>10408.163265306122</v>
      </c>
      <c r="I7" s="7">
        <f>E7*100/(100+F7)</f>
        <v>24792.708333333332</v>
      </c>
      <c r="J7" s="5">
        <f>C7/E7</f>
        <v>0.42855342212512082</v>
      </c>
      <c r="K7" s="1"/>
    </row>
    <row r="8" spans="1:11" x14ac:dyDescent="0.25">
      <c r="A8">
        <v>7</v>
      </c>
      <c r="B8" t="s">
        <v>266</v>
      </c>
      <c r="C8" s="3">
        <v>9762</v>
      </c>
      <c r="D8" s="3">
        <v>4.2</v>
      </c>
      <c r="E8">
        <v>5852</v>
      </c>
      <c r="F8" s="2">
        <v>0.7</v>
      </c>
      <c r="G8" t="s">
        <v>256</v>
      </c>
      <c r="H8" s="3">
        <f>C8/(100+D8)*100</f>
        <v>9368.5220729366611</v>
      </c>
      <c r="I8" s="7">
        <f>E8*100/(100+F8)</f>
        <v>5811.3207547169814</v>
      </c>
      <c r="J8" s="5">
        <f>C8/E8</f>
        <v>1.6681476418318524</v>
      </c>
    </row>
    <row r="9" spans="1:11" x14ac:dyDescent="0.25">
      <c r="A9">
        <v>8</v>
      </c>
      <c r="B9" t="s">
        <v>267</v>
      </c>
      <c r="C9" s="3">
        <v>9228</v>
      </c>
      <c r="D9" s="3">
        <v>5</v>
      </c>
      <c r="E9">
        <v>9630</v>
      </c>
      <c r="F9" s="2">
        <v>2.2000000000000002</v>
      </c>
      <c r="G9" t="s">
        <v>258</v>
      </c>
      <c r="H9" s="3">
        <f>C9/(100+D9)*100</f>
        <v>8788.5714285714294</v>
      </c>
      <c r="I9" s="7">
        <f>E9*100/(100+F9)</f>
        <v>9422.7005870841476</v>
      </c>
      <c r="J9" s="5">
        <f>C9/E9</f>
        <v>0.95825545171339566</v>
      </c>
    </row>
    <row r="10" spans="1:11" x14ac:dyDescent="0.25">
      <c r="A10">
        <v>9</v>
      </c>
      <c r="B10" t="s">
        <v>268</v>
      </c>
      <c r="C10" s="3">
        <v>7044</v>
      </c>
      <c r="D10" s="3">
        <v>6.9</v>
      </c>
      <c r="E10">
        <v>6126</v>
      </c>
      <c r="F10" s="2">
        <v>4.3</v>
      </c>
      <c r="G10" t="s">
        <v>269</v>
      </c>
      <c r="H10" s="3">
        <f>C10/(100+D10)*100</f>
        <v>6589.335827876519</v>
      </c>
      <c r="I10" s="7">
        <f>E10*100/(100+F10)</f>
        <v>5873.4419942473633</v>
      </c>
      <c r="J10" s="5">
        <f>C10/E10</f>
        <v>1.1498530852105779</v>
      </c>
    </row>
    <row r="11" spans="1:11" x14ac:dyDescent="0.25">
      <c r="A11">
        <v>10</v>
      </c>
      <c r="B11" t="s">
        <v>270</v>
      </c>
      <c r="C11" s="3">
        <v>5890</v>
      </c>
      <c r="D11" s="3">
        <v>4</v>
      </c>
      <c r="E11">
        <v>2160</v>
      </c>
      <c r="F11" s="2">
        <v>3.2</v>
      </c>
      <c r="G11" t="s">
        <v>271</v>
      </c>
      <c r="H11" s="3">
        <f>C11/(100+D11)*100</f>
        <v>5663.461538461539</v>
      </c>
      <c r="I11" s="7">
        <f>E11*100/(100+F11)</f>
        <v>2093.0232558139533</v>
      </c>
      <c r="J11" s="5">
        <f>C11/E11</f>
        <v>2.7268518518518516</v>
      </c>
    </row>
    <row r="12" spans="1:11" x14ac:dyDescent="0.25">
      <c r="A12">
        <v>11</v>
      </c>
      <c r="B12" t="s">
        <v>272</v>
      </c>
      <c r="C12" s="3">
        <v>5558</v>
      </c>
      <c r="D12" s="3">
        <v>0.6</v>
      </c>
      <c r="E12">
        <v>7306</v>
      </c>
      <c r="F12" s="2">
        <v>-2.4</v>
      </c>
      <c r="G12" t="s">
        <v>269</v>
      </c>
      <c r="H12" s="3">
        <f>C12/(100+D12)*100</f>
        <v>5524.8508946322072</v>
      </c>
      <c r="I12" s="7">
        <f>E12*100/(100+F12)</f>
        <v>7485.6557377049185</v>
      </c>
      <c r="J12" s="5">
        <f>C12/E12</f>
        <v>0.76074459348480705</v>
      </c>
    </row>
    <row r="13" spans="1:11" x14ac:dyDescent="0.25">
      <c r="A13">
        <v>12</v>
      </c>
      <c r="B13" t="s">
        <v>273</v>
      </c>
      <c r="C13" s="3">
        <v>5509</v>
      </c>
      <c r="D13" s="3">
        <v>14.8</v>
      </c>
      <c r="E13">
        <v>2584</v>
      </c>
      <c r="F13" s="2">
        <v>5.3</v>
      </c>
      <c r="G13" t="s">
        <v>274</v>
      </c>
      <c r="H13" s="3">
        <f>C13/(100+D13)*100</f>
        <v>4798.7804878048782</v>
      </c>
      <c r="I13" s="7">
        <f>E13*100/(100+F13)</f>
        <v>2453.9411206077875</v>
      </c>
      <c r="J13" s="5">
        <f>C13/E13</f>
        <v>2.1319659442724457</v>
      </c>
    </row>
    <row r="14" spans="1:11" x14ac:dyDescent="0.25">
      <c r="A14">
        <v>13</v>
      </c>
      <c r="B14" t="s">
        <v>275</v>
      </c>
      <c r="C14" s="3">
        <v>4687</v>
      </c>
      <c r="D14" s="3">
        <v>4.5999999999999996</v>
      </c>
      <c r="E14">
        <v>3526</v>
      </c>
      <c r="F14" s="2">
        <v>-2.1</v>
      </c>
      <c r="G14" t="s">
        <v>256</v>
      </c>
      <c r="H14" s="3">
        <f>C14/(100+D14)*100</f>
        <v>4480.8795411089868</v>
      </c>
      <c r="I14" s="7">
        <f>E14*100/(100+F14)</f>
        <v>3601.6343207354439</v>
      </c>
      <c r="J14" s="5">
        <f>C14/E14</f>
        <v>1.3292682926829269</v>
      </c>
    </row>
    <row r="15" spans="1:11" x14ac:dyDescent="0.25">
      <c r="A15">
        <v>14</v>
      </c>
      <c r="B15" t="s">
        <v>276</v>
      </c>
      <c r="C15" s="3">
        <v>4546</v>
      </c>
      <c r="D15" s="3">
        <v>2.5</v>
      </c>
      <c r="E15">
        <v>4065</v>
      </c>
      <c r="F15" s="2">
        <v>-0.2</v>
      </c>
      <c r="G15" t="s">
        <v>260</v>
      </c>
      <c r="H15" s="3">
        <f>C15/(100+D15)*100</f>
        <v>4435.1219512195121</v>
      </c>
      <c r="I15" s="7">
        <f>E15*100/(100+F15)</f>
        <v>4073.1462925851706</v>
      </c>
      <c r="J15" s="5">
        <f>C15/E15</f>
        <v>1.1183271832718327</v>
      </c>
    </row>
    <row r="16" spans="1:11" x14ac:dyDescent="0.25">
      <c r="A16">
        <v>15</v>
      </c>
      <c r="B16" t="s">
        <v>277</v>
      </c>
      <c r="C16" s="3">
        <v>4287</v>
      </c>
      <c r="D16" s="3">
        <v>5</v>
      </c>
      <c r="E16">
        <v>866</v>
      </c>
      <c r="F16" s="2">
        <v>1.3</v>
      </c>
      <c r="G16" t="s">
        <v>278</v>
      </c>
      <c r="H16" s="3">
        <f>C16/(100+D16)*100</f>
        <v>4082.8571428571431</v>
      </c>
      <c r="I16" s="7">
        <f>E16*100/(100+F16)</f>
        <v>854.88647581441262</v>
      </c>
      <c r="J16" s="5">
        <f>C16/E16</f>
        <v>4.9503464203233261</v>
      </c>
    </row>
    <row r="17" spans="1:10" x14ac:dyDescent="0.25">
      <c r="A17">
        <v>16</v>
      </c>
      <c r="B17" t="s">
        <v>279</v>
      </c>
      <c r="C17" s="3">
        <v>4085</v>
      </c>
      <c r="D17" s="3">
        <v>-3</v>
      </c>
      <c r="E17">
        <v>1665</v>
      </c>
      <c r="F17" s="2">
        <v>-1.7</v>
      </c>
      <c r="G17" t="s">
        <v>280</v>
      </c>
      <c r="H17" s="3">
        <f>C17/(100+D17)*100</f>
        <v>4211.3402061855677</v>
      </c>
      <c r="I17" s="7">
        <f>E17*100/(100+F17)</f>
        <v>1693.7945066124109</v>
      </c>
      <c r="J17" s="5">
        <f>C17/E17</f>
        <v>2.4534534534534536</v>
      </c>
    </row>
    <row r="18" spans="1:10" x14ac:dyDescent="0.25">
      <c r="A18">
        <v>17</v>
      </c>
      <c r="B18" t="s">
        <v>281</v>
      </c>
      <c r="C18" s="3">
        <v>3946</v>
      </c>
      <c r="D18" s="3">
        <v>12</v>
      </c>
      <c r="E18">
        <v>2209</v>
      </c>
      <c r="F18" s="2">
        <v>4.9000000000000004</v>
      </c>
      <c r="G18" t="s">
        <v>282</v>
      </c>
      <c r="H18" s="3">
        <f>C18/(100+D18)*100</f>
        <v>3523.2142857142853</v>
      </c>
      <c r="I18" s="7">
        <f>E18*100/(100+F18)</f>
        <v>2105.815061963775</v>
      </c>
      <c r="J18" s="5">
        <f>C18/E18</f>
        <v>1.7863286555002262</v>
      </c>
    </row>
    <row r="19" spans="1:10" x14ac:dyDescent="0.25">
      <c r="A19">
        <v>18</v>
      </c>
      <c r="B19" t="s">
        <v>283</v>
      </c>
      <c r="C19" s="3">
        <v>3884</v>
      </c>
      <c r="D19" s="3">
        <v>1.9</v>
      </c>
      <c r="E19">
        <v>3359</v>
      </c>
      <c r="F19" s="2">
        <v>0.9</v>
      </c>
      <c r="G19" t="s">
        <v>265</v>
      </c>
      <c r="H19" s="3">
        <f>C19/(100+D19)*100</f>
        <v>3811.5799803729146</v>
      </c>
      <c r="I19" s="7">
        <f>E19*100/(100+F19)</f>
        <v>3329.0386521308224</v>
      </c>
      <c r="J19" s="5">
        <f>C19/E19</f>
        <v>1.1562965168204822</v>
      </c>
    </row>
    <row r="20" spans="1:10" x14ac:dyDescent="0.25">
      <c r="A20">
        <v>19</v>
      </c>
      <c r="B20" t="s">
        <v>284</v>
      </c>
      <c r="C20" s="3">
        <v>3812</v>
      </c>
      <c r="D20" s="3">
        <v>18.3</v>
      </c>
      <c r="E20">
        <v>2476</v>
      </c>
      <c r="F20" s="2">
        <v>5.5</v>
      </c>
      <c r="G20" t="s">
        <v>260</v>
      </c>
      <c r="H20" s="3">
        <f>C20/(100+D20)*100</f>
        <v>3222.3161453930688</v>
      </c>
      <c r="I20" s="7">
        <f>E20*100/(100+F20)</f>
        <v>2346.9194312796208</v>
      </c>
      <c r="J20" s="5">
        <f>C20/E20</f>
        <v>1.5395799676898223</v>
      </c>
    </row>
    <row r="21" spans="1:10" x14ac:dyDescent="0.25">
      <c r="A21">
        <v>20</v>
      </c>
      <c r="B21" t="s">
        <v>285</v>
      </c>
      <c r="C21" s="3">
        <v>3811</v>
      </c>
      <c r="D21" s="3">
        <v>2.7</v>
      </c>
      <c r="E21">
        <v>4237</v>
      </c>
      <c r="F21" s="2">
        <v>-0.6</v>
      </c>
      <c r="G21" t="s">
        <v>269</v>
      </c>
      <c r="H21" s="3">
        <f>C21/(100+D21)*100</f>
        <v>3710.8081791626091</v>
      </c>
      <c r="I21" s="7">
        <f>E21*100/(100+F21)</f>
        <v>4262.5754527162971</v>
      </c>
      <c r="J21" s="5">
        <f>C21/E21</f>
        <v>0.89945716308708989</v>
      </c>
    </row>
    <row r="22" spans="1:10" x14ac:dyDescent="0.25">
      <c r="A22">
        <v>21</v>
      </c>
      <c r="B22" t="s">
        <v>286</v>
      </c>
      <c r="C22" s="3">
        <v>3760</v>
      </c>
      <c r="D22" s="3">
        <v>2.9</v>
      </c>
      <c r="E22">
        <v>4381</v>
      </c>
      <c r="F22" s="2">
        <v>-0.6</v>
      </c>
      <c r="G22" t="s">
        <v>287</v>
      </c>
      <c r="H22" s="3">
        <f>C22/(100+D22)*100</f>
        <v>3654.0330417881437</v>
      </c>
      <c r="I22" s="7">
        <f>E22*100/(100+F22)</f>
        <v>4407.4446680080482</v>
      </c>
      <c r="J22" s="5">
        <f>C22/E22</f>
        <v>0.85825154074412235</v>
      </c>
    </row>
    <row r="23" spans="1:10" x14ac:dyDescent="0.25">
      <c r="A23">
        <v>22</v>
      </c>
      <c r="B23" t="s">
        <v>288</v>
      </c>
      <c r="C23" s="3">
        <v>3669</v>
      </c>
      <c r="D23" s="3">
        <v>-0.1</v>
      </c>
      <c r="E23">
        <v>1206</v>
      </c>
      <c r="F23" s="2">
        <v>-0.2</v>
      </c>
      <c r="G23" t="s">
        <v>289</v>
      </c>
      <c r="H23" s="3">
        <f>C23/(100+D23)*100</f>
        <v>3672.6726726726724</v>
      </c>
      <c r="I23" s="7">
        <f>E23*100/(100+F23)</f>
        <v>1208.4168336673347</v>
      </c>
      <c r="J23" s="5">
        <f>C23/E23</f>
        <v>3.0422885572139302</v>
      </c>
    </row>
    <row r="24" spans="1:10" x14ac:dyDescent="0.25">
      <c r="A24">
        <v>23</v>
      </c>
      <c r="B24" t="s">
        <v>290</v>
      </c>
      <c r="C24" s="3">
        <v>3563</v>
      </c>
      <c r="D24" s="3">
        <v>2.2000000000000002</v>
      </c>
      <c r="E24">
        <v>1242</v>
      </c>
      <c r="F24" s="2">
        <v>-0.7</v>
      </c>
      <c r="G24" t="s">
        <v>280</v>
      </c>
      <c r="H24" s="3">
        <f>C24/(100+D24)*100</f>
        <v>3486.3013698630134</v>
      </c>
      <c r="I24" s="7">
        <f>E24*100/(100+F24)</f>
        <v>1250.7552870090635</v>
      </c>
      <c r="J24" s="5">
        <f>C24/E24</f>
        <v>2.8687600644122382</v>
      </c>
    </row>
    <row r="25" spans="1:10" x14ac:dyDescent="0.25">
      <c r="A25">
        <v>24</v>
      </c>
      <c r="B25" t="s">
        <v>291</v>
      </c>
      <c r="C25" s="3">
        <v>3504</v>
      </c>
      <c r="D25" s="3">
        <v>1.1000000000000001</v>
      </c>
      <c r="E25">
        <v>2243</v>
      </c>
      <c r="F25" s="2">
        <v>0.3</v>
      </c>
      <c r="G25" t="s">
        <v>256</v>
      </c>
      <c r="H25" s="3">
        <f>C25/(100+D25)*100</f>
        <v>3465.8753709198813</v>
      </c>
      <c r="I25" s="7">
        <f>E25*100/(100+F25)</f>
        <v>2236.2911266201395</v>
      </c>
      <c r="J25" s="5">
        <f>C25/E25</f>
        <v>1.5621934908604547</v>
      </c>
    </row>
    <row r="26" spans="1:10" x14ac:dyDescent="0.25">
      <c r="A26">
        <v>25</v>
      </c>
      <c r="B26" t="s">
        <v>292</v>
      </c>
      <c r="C26" s="3">
        <v>3266</v>
      </c>
      <c r="D26" s="3">
        <v>2</v>
      </c>
      <c r="E26">
        <v>1710</v>
      </c>
      <c r="F26" s="2">
        <v>0.3</v>
      </c>
      <c r="G26" t="s">
        <v>293</v>
      </c>
      <c r="H26" s="3">
        <f>C26/(100+D26)*100</f>
        <v>3201.960784313726</v>
      </c>
      <c r="I26" s="7">
        <f>E26*100/(100+F26)</f>
        <v>1704.8853439680959</v>
      </c>
      <c r="J26" s="5">
        <f>C26/E26</f>
        <v>1.9099415204678363</v>
      </c>
    </row>
    <row r="27" spans="1:10" x14ac:dyDescent="0.25">
      <c r="A27">
        <v>26</v>
      </c>
      <c r="B27" t="s">
        <v>294</v>
      </c>
      <c r="C27" s="3">
        <v>3016</v>
      </c>
      <c r="D27" s="3">
        <v>11</v>
      </c>
      <c r="E27">
        <v>553</v>
      </c>
      <c r="F27" s="2">
        <v>3.8</v>
      </c>
      <c r="G27" t="s">
        <v>295</v>
      </c>
      <c r="H27" s="3">
        <f>C27/(100+D27)*100</f>
        <v>2717.1171171171172</v>
      </c>
      <c r="I27" s="7">
        <f>E27*100/(100+F27)</f>
        <v>532.75529865125247</v>
      </c>
      <c r="J27" s="5">
        <f>C27/E27</f>
        <v>5.4538878842676315</v>
      </c>
    </row>
    <row r="28" spans="1:10" x14ac:dyDescent="0.25">
      <c r="A28">
        <v>27</v>
      </c>
      <c r="B28" t="s">
        <v>296</v>
      </c>
      <c r="C28" s="3">
        <v>2691</v>
      </c>
      <c r="D28" s="3">
        <v>1.1000000000000001</v>
      </c>
      <c r="E28">
        <v>1558</v>
      </c>
      <c r="F28" s="2">
        <v>-1.5</v>
      </c>
      <c r="G28" t="s">
        <v>293</v>
      </c>
      <c r="H28" s="3">
        <f>C28/(100+D28)*100</f>
        <v>2661.7210682492582</v>
      </c>
      <c r="I28" s="7">
        <f>E28*100/(100+F28)</f>
        <v>1581.725888324873</v>
      </c>
      <c r="J28" s="5">
        <f>C28/E28</f>
        <v>1.727214377406932</v>
      </c>
    </row>
    <row r="29" spans="1:10" x14ac:dyDescent="0.25">
      <c r="A29">
        <v>28</v>
      </c>
      <c r="B29" t="s">
        <v>297</v>
      </c>
      <c r="C29" s="3">
        <v>2638</v>
      </c>
      <c r="D29" s="3">
        <v>-2.7</v>
      </c>
      <c r="E29">
        <v>3142</v>
      </c>
      <c r="F29" s="2">
        <v>-1.8</v>
      </c>
      <c r="G29" t="s">
        <v>269</v>
      </c>
      <c r="H29" s="3">
        <f>C29/(100+D29)*100</f>
        <v>2711.2024665981503</v>
      </c>
      <c r="I29" s="7">
        <f>E29*100/(100+F29)</f>
        <v>3199.5926680244397</v>
      </c>
      <c r="J29" s="5">
        <f>C29/E29</f>
        <v>0.83959261616804581</v>
      </c>
    </row>
    <row r="30" spans="1:10" x14ac:dyDescent="0.25">
      <c r="A30">
        <v>29</v>
      </c>
      <c r="B30" t="s">
        <v>298</v>
      </c>
      <c r="C30" s="3">
        <v>2635</v>
      </c>
      <c r="D30" s="3">
        <v>0.9</v>
      </c>
      <c r="E30">
        <v>724</v>
      </c>
      <c r="F30" s="2">
        <v>-1.2</v>
      </c>
      <c r="G30" t="s">
        <v>295</v>
      </c>
      <c r="H30" s="3">
        <f>C30/(100+D30)*100</f>
        <v>2611.4965312190284</v>
      </c>
      <c r="I30" s="7">
        <f>E30*100/(100+F30)</f>
        <v>732.79352226720653</v>
      </c>
      <c r="J30" s="5">
        <f>C30/E30</f>
        <v>3.6395027624309391</v>
      </c>
    </row>
    <row r="31" spans="1:10" x14ac:dyDescent="0.25">
      <c r="A31">
        <v>30</v>
      </c>
      <c r="B31" t="s">
        <v>299</v>
      </c>
      <c r="C31" s="3">
        <v>2556</v>
      </c>
      <c r="D31" s="3">
        <v>5.8</v>
      </c>
      <c r="E31">
        <v>830</v>
      </c>
      <c r="F31" s="2">
        <v>0.6</v>
      </c>
      <c r="G31" t="s">
        <v>256</v>
      </c>
      <c r="H31" s="3">
        <f>C31/(100+D31)*100</f>
        <v>2415.8790170132329</v>
      </c>
      <c r="I31" s="7">
        <f>E31*100/(100+F31)</f>
        <v>825.04970178926442</v>
      </c>
      <c r="J31" s="5">
        <f>C31/E31</f>
        <v>3.0795180722891566</v>
      </c>
    </row>
    <row r="32" spans="1:10" x14ac:dyDescent="0.25">
      <c r="A32">
        <v>31</v>
      </c>
      <c r="B32" t="s">
        <v>300</v>
      </c>
      <c r="C32" s="3">
        <v>2490</v>
      </c>
      <c r="D32" s="3">
        <v>1.6</v>
      </c>
      <c r="E32">
        <v>679</v>
      </c>
      <c r="F32" s="2">
        <v>0.1</v>
      </c>
      <c r="G32" t="s">
        <v>301</v>
      </c>
      <c r="H32" s="3">
        <f>C32/(100+D32)*100</f>
        <v>2450.7874015748034</v>
      </c>
      <c r="I32" s="7">
        <f>E32*100/(100+F32)</f>
        <v>678.32167832167841</v>
      </c>
      <c r="J32" s="5">
        <f>C32/E32</f>
        <v>3.6671575846833577</v>
      </c>
    </row>
    <row r="33" spans="1:10" x14ac:dyDescent="0.25">
      <c r="A33">
        <v>32</v>
      </c>
      <c r="B33" t="s">
        <v>302</v>
      </c>
      <c r="C33" s="3">
        <v>2482</v>
      </c>
      <c r="D33" s="3">
        <v>1.8</v>
      </c>
      <c r="E33">
        <v>660</v>
      </c>
      <c r="F33" s="2">
        <v>0.8</v>
      </c>
      <c r="G33" t="s">
        <v>293</v>
      </c>
      <c r="H33" s="3">
        <f>C33/(100+D33)*100</f>
        <v>2438.1139489194497</v>
      </c>
      <c r="I33" s="7">
        <f>E33*100/(100+F33)</f>
        <v>654.76190476190482</v>
      </c>
      <c r="J33" s="5">
        <f>C33/E33</f>
        <v>3.7606060606060607</v>
      </c>
    </row>
    <row r="34" spans="1:10" x14ac:dyDescent="0.25">
      <c r="A34">
        <v>33</v>
      </c>
      <c r="B34" t="s">
        <v>303</v>
      </c>
      <c r="C34" s="3">
        <v>2180</v>
      </c>
      <c r="D34" s="3">
        <v>2.5</v>
      </c>
      <c r="E34">
        <v>206</v>
      </c>
      <c r="F34" s="2">
        <v>2.5</v>
      </c>
      <c r="G34" t="s">
        <v>280</v>
      </c>
      <c r="H34" s="3">
        <f>C34/(100+D34)*100</f>
        <v>2126.8292682926831</v>
      </c>
      <c r="I34" s="7">
        <f>E34*100/(100+F34)</f>
        <v>200.97560975609755</v>
      </c>
      <c r="J34" s="5">
        <f>C34/E34</f>
        <v>10.58252427184466</v>
      </c>
    </row>
    <row r="35" spans="1:10" x14ac:dyDescent="0.25">
      <c r="A35">
        <v>34</v>
      </c>
      <c r="B35" t="s">
        <v>304</v>
      </c>
      <c r="C35" s="3">
        <v>2105</v>
      </c>
      <c r="D35" s="3">
        <v>-1.6</v>
      </c>
      <c r="E35">
        <v>2787</v>
      </c>
      <c r="F35" s="2">
        <v>-0.5</v>
      </c>
      <c r="G35" t="s">
        <v>305</v>
      </c>
      <c r="H35" s="3">
        <f>C35/(100+D35)*100</f>
        <v>2139.2276422764226</v>
      </c>
      <c r="I35" s="7">
        <f>E35*100/(100+F35)</f>
        <v>2801.005025125628</v>
      </c>
      <c r="J35" s="5">
        <f>C35/E35</f>
        <v>0.75529242913527095</v>
      </c>
    </row>
    <row r="36" spans="1:10" x14ac:dyDescent="0.25">
      <c r="A36">
        <v>35</v>
      </c>
      <c r="B36" t="s">
        <v>306</v>
      </c>
      <c r="C36" s="3">
        <v>2020</v>
      </c>
      <c r="D36" s="3">
        <v>-4</v>
      </c>
      <c r="E36">
        <v>1820</v>
      </c>
      <c r="F36" s="2">
        <v>-1.4</v>
      </c>
      <c r="G36" t="s">
        <v>256</v>
      </c>
      <c r="H36" s="3">
        <f>C36/(100+D36)*100</f>
        <v>2104.166666666667</v>
      </c>
      <c r="I36" s="7">
        <f>E36*100/(100+F36)</f>
        <v>1845.8417849898581</v>
      </c>
      <c r="J36" s="5">
        <f>C36/E36</f>
        <v>1.1098901098901099</v>
      </c>
    </row>
    <row r="37" spans="1:10" x14ac:dyDescent="0.25">
      <c r="A37">
        <v>36</v>
      </c>
      <c r="B37" t="s">
        <v>307</v>
      </c>
      <c r="C37" s="3">
        <v>1886</v>
      </c>
      <c r="D37" s="3">
        <v>6</v>
      </c>
      <c r="E37">
        <v>910</v>
      </c>
      <c r="F37" s="2">
        <v>1.3</v>
      </c>
      <c r="G37" t="s">
        <v>308</v>
      </c>
      <c r="H37" s="3">
        <f>C37/(100+D37)*100</f>
        <v>1779.2452830188679</v>
      </c>
      <c r="I37" s="7">
        <f>E37*100/(100+F37)</f>
        <v>898.32181638696943</v>
      </c>
      <c r="J37" s="5">
        <f>C37/E37</f>
        <v>2.0725274725274727</v>
      </c>
    </row>
    <row r="38" spans="1:10" x14ac:dyDescent="0.25">
      <c r="A38">
        <v>37</v>
      </c>
      <c r="B38" t="s">
        <v>309</v>
      </c>
      <c r="C38" s="3">
        <v>1867</v>
      </c>
      <c r="D38" s="3">
        <v>6.3</v>
      </c>
      <c r="E38">
        <v>530</v>
      </c>
      <c r="F38" s="2">
        <v>1.9</v>
      </c>
      <c r="G38" t="s">
        <v>295</v>
      </c>
      <c r="H38" s="3">
        <f>C38/(100+D38)*100</f>
        <v>1756.3499529633114</v>
      </c>
      <c r="I38" s="7">
        <f>E38*100/(100+F38)</f>
        <v>520.11776251226695</v>
      </c>
      <c r="J38" s="5">
        <f>C38/E38</f>
        <v>3.5226415094339623</v>
      </c>
    </row>
    <row r="39" spans="1:10" x14ac:dyDescent="0.25">
      <c r="A39">
        <v>38</v>
      </c>
      <c r="B39" t="s">
        <v>310</v>
      </c>
      <c r="C39" s="3">
        <v>1795</v>
      </c>
      <c r="D39" s="3">
        <v>13.9</v>
      </c>
      <c r="E39">
        <v>732</v>
      </c>
      <c r="F39" s="2">
        <v>6.7</v>
      </c>
      <c r="G39" t="s">
        <v>256</v>
      </c>
      <c r="H39" s="3">
        <f>C39/(100+D39)*100</f>
        <v>1575.9438103599648</v>
      </c>
      <c r="I39" s="7">
        <f>E39*100/(100+F39)</f>
        <v>686.03561387066543</v>
      </c>
      <c r="J39" s="5">
        <f>C39/E39</f>
        <v>2.4521857923497268</v>
      </c>
    </row>
    <row r="40" spans="1:10" x14ac:dyDescent="0.25">
      <c r="A40">
        <v>39</v>
      </c>
      <c r="B40" t="s">
        <v>311</v>
      </c>
      <c r="C40" s="3">
        <v>1746</v>
      </c>
      <c r="D40" s="3">
        <v>0.8</v>
      </c>
      <c r="E40">
        <v>483</v>
      </c>
      <c r="F40" s="2">
        <v>-1.2</v>
      </c>
      <c r="G40" t="s">
        <v>312</v>
      </c>
      <c r="H40" s="3">
        <f>C40/(100+D40)*100</f>
        <v>1732.1428571428573</v>
      </c>
      <c r="I40" s="7">
        <f>E40*100/(100+F40)</f>
        <v>488.86639676113361</v>
      </c>
      <c r="J40" s="5">
        <f>C40/E40</f>
        <v>3.6149068322981366</v>
      </c>
    </row>
    <row r="41" spans="1:10" x14ac:dyDescent="0.25">
      <c r="A41">
        <v>40</v>
      </c>
      <c r="B41" t="s">
        <v>313</v>
      </c>
      <c r="C41" s="3">
        <v>1661</v>
      </c>
      <c r="D41" s="3">
        <v>7.4</v>
      </c>
      <c r="E41">
        <v>1368</v>
      </c>
      <c r="F41" s="2">
        <v>0.7</v>
      </c>
      <c r="G41" t="s">
        <v>314</v>
      </c>
      <c r="H41" s="3">
        <f>C41/(100+D41)*100</f>
        <v>1546.5549348230911</v>
      </c>
      <c r="I41" s="7">
        <f>E41*100/(100+F41)</f>
        <v>1358.4905660377358</v>
      </c>
      <c r="J41" s="5">
        <f>C41/E41</f>
        <v>1.2141812865497077</v>
      </c>
    </row>
    <row r="42" spans="1:10" x14ac:dyDescent="0.25">
      <c r="A42">
        <v>41</v>
      </c>
      <c r="B42" t="s">
        <v>315</v>
      </c>
      <c r="C42" s="3">
        <v>1548</v>
      </c>
      <c r="D42" s="3">
        <v>-0.3</v>
      </c>
      <c r="E42">
        <v>556</v>
      </c>
      <c r="F42" s="2">
        <v>-3</v>
      </c>
      <c r="G42" t="s">
        <v>280</v>
      </c>
      <c r="H42" s="3">
        <f>C42/(100+D42)*100</f>
        <v>1552.6579739217652</v>
      </c>
      <c r="I42" s="7">
        <f>E42*100/(100+F42)</f>
        <v>573.19587628865975</v>
      </c>
      <c r="J42" s="5">
        <f>C42/E42</f>
        <v>2.7841726618705036</v>
      </c>
    </row>
    <row r="43" spans="1:10" x14ac:dyDescent="0.25">
      <c r="A43">
        <v>42</v>
      </c>
      <c r="B43" t="s">
        <v>316</v>
      </c>
      <c r="C43" s="3">
        <v>1466</v>
      </c>
      <c r="D43" s="3">
        <v>23.8</v>
      </c>
      <c r="E43">
        <v>457</v>
      </c>
      <c r="F43" s="2">
        <v>14.3</v>
      </c>
      <c r="G43" t="s">
        <v>308</v>
      </c>
      <c r="H43" s="3">
        <f>C43/(100+D43)*100</f>
        <v>1184.168012924071</v>
      </c>
      <c r="I43" s="7">
        <f>E43*100/(100+F43)</f>
        <v>399.82502187226595</v>
      </c>
      <c r="J43" s="5">
        <f>C43/E43</f>
        <v>3.2078774617067833</v>
      </c>
    </row>
    <row r="44" spans="1:10" x14ac:dyDescent="0.25">
      <c r="A44">
        <v>43</v>
      </c>
      <c r="B44" t="s">
        <v>317</v>
      </c>
      <c r="C44" s="3">
        <v>1423</v>
      </c>
      <c r="D44" s="3">
        <v>-2.5</v>
      </c>
      <c r="E44">
        <v>1095</v>
      </c>
      <c r="F44" s="2">
        <v>-2.2999999999999998</v>
      </c>
      <c r="G44" t="s">
        <v>256</v>
      </c>
      <c r="H44" s="3">
        <f>C44/(100+D44)*100</f>
        <v>1459.4871794871794</v>
      </c>
      <c r="I44" s="7">
        <f>E44*100/(100+F44)</f>
        <v>1120.7778915046058</v>
      </c>
      <c r="J44" s="5">
        <f>C44/E44</f>
        <v>1.2995433789954338</v>
      </c>
    </row>
    <row r="45" spans="1:10" x14ac:dyDescent="0.25">
      <c r="A45">
        <v>44</v>
      </c>
      <c r="B45" t="s">
        <v>318</v>
      </c>
      <c r="C45" s="3">
        <v>1363</v>
      </c>
      <c r="D45" s="3">
        <v>19</v>
      </c>
      <c r="E45">
        <v>1231</v>
      </c>
      <c r="F45" s="2">
        <v>9.5</v>
      </c>
      <c r="G45" t="s">
        <v>308</v>
      </c>
      <c r="H45" s="3">
        <f>C45/(100+D45)*100</f>
        <v>1145.3781512605042</v>
      </c>
      <c r="I45" s="7">
        <f>E45*100/(100+F45)</f>
        <v>1124.2009132420092</v>
      </c>
      <c r="J45" s="5">
        <f>C45/E45</f>
        <v>1.1072298943948009</v>
      </c>
    </row>
    <row r="46" spans="1:10" x14ac:dyDescent="0.25">
      <c r="A46">
        <v>45</v>
      </c>
      <c r="B46" t="s">
        <v>319</v>
      </c>
      <c r="C46" s="3">
        <v>1344</v>
      </c>
      <c r="D46" s="3">
        <v>3.4</v>
      </c>
      <c r="E46">
        <v>1959</v>
      </c>
      <c r="F46" s="2">
        <v>1.2</v>
      </c>
      <c r="G46" t="s">
        <v>293</v>
      </c>
      <c r="H46" s="3">
        <f>C46/(100+D46)*100</f>
        <v>1299.8065764023208</v>
      </c>
      <c r="I46" s="7">
        <f>E46*100/(100+F46)</f>
        <v>1935.7707509881423</v>
      </c>
      <c r="J46" s="5">
        <f>C46/E46</f>
        <v>0.68606431852986216</v>
      </c>
    </row>
    <row r="47" spans="1:10" x14ac:dyDescent="0.25">
      <c r="A47">
        <v>46</v>
      </c>
      <c r="B47" t="s">
        <v>320</v>
      </c>
      <c r="C47" s="3">
        <v>1340</v>
      </c>
      <c r="D47" s="3">
        <v>16.7</v>
      </c>
      <c r="E47">
        <v>1667</v>
      </c>
      <c r="F47" s="2">
        <v>11.6</v>
      </c>
      <c r="G47" t="s">
        <v>305</v>
      </c>
      <c r="H47" s="3">
        <f>C47/(100+D47)*100</f>
        <v>1148.2433590402743</v>
      </c>
      <c r="I47" s="7">
        <f>E47*100/(100+F47)</f>
        <v>1493.7275985663084</v>
      </c>
      <c r="J47" s="5">
        <f>C47/E47</f>
        <v>0.80383923215356934</v>
      </c>
    </row>
    <row r="48" spans="1:10" x14ac:dyDescent="0.25">
      <c r="A48">
        <v>47</v>
      </c>
      <c r="B48" t="s">
        <v>321</v>
      </c>
      <c r="C48" s="3">
        <v>1331</v>
      </c>
      <c r="D48" s="3">
        <v>2.7</v>
      </c>
      <c r="E48">
        <v>746</v>
      </c>
      <c r="F48" s="2">
        <v>-1.3</v>
      </c>
      <c r="G48" t="s">
        <v>260</v>
      </c>
      <c r="H48" s="3">
        <f>C48/(100+D48)*100</f>
        <v>1296.0077896786756</v>
      </c>
      <c r="I48" s="7">
        <f>E48*100/(100+F48)</f>
        <v>755.82573454913882</v>
      </c>
      <c r="J48" s="5">
        <f>C48/E48</f>
        <v>1.7841823056300268</v>
      </c>
    </row>
    <row r="49" spans="1:10" x14ac:dyDescent="0.25">
      <c r="A49">
        <v>48</v>
      </c>
      <c r="B49" t="s">
        <v>322</v>
      </c>
      <c r="C49" s="3">
        <v>1161</v>
      </c>
      <c r="D49" s="3">
        <v>4</v>
      </c>
      <c r="E49">
        <v>208</v>
      </c>
      <c r="F49" s="2">
        <v>3</v>
      </c>
      <c r="G49" t="s">
        <v>280</v>
      </c>
      <c r="H49" s="3">
        <f>C49/(100+D49)*100</f>
        <v>1116.3461538461538</v>
      </c>
      <c r="I49" s="7">
        <f>E49*100/(100+F49)</f>
        <v>201.94174757281553</v>
      </c>
      <c r="J49" s="5">
        <f>C49/E49</f>
        <v>5.5817307692307692</v>
      </c>
    </row>
    <row r="50" spans="1:10" x14ac:dyDescent="0.25">
      <c r="A50">
        <v>49</v>
      </c>
      <c r="B50" t="s">
        <v>323</v>
      </c>
      <c r="C50" s="3">
        <v>1085</v>
      </c>
      <c r="D50" s="3">
        <v>-8.5</v>
      </c>
      <c r="E50">
        <v>385</v>
      </c>
      <c r="F50" s="2">
        <v>-7.9</v>
      </c>
      <c r="G50" t="s">
        <v>280</v>
      </c>
      <c r="H50" s="3">
        <f>C50/(100+D50)*100</f>
        <v>1185.7923497267759</v>
      </c>
      <c r="I50" s="7">
        <f>E50*100/(100+F50)</f>
        <v>418.02388707926173</v>
      </c>
      <c r="J50" s="5">
        <f>C50/E50</f>
        <v>2.8181818181818183</v>
      </c>
    </row>
    <row r="51" spans="1:10" x14ac:dyDescent="0.25">
      <c r="A51">
        <v>50</v>
      </c>
      <c r="B51" t="s">
        <v>324</v>
      </c>
      <c r="C51" s="3">
        <v>957</v>
      </c>
      <c r="D51" s="3">
        <v>4.5999999999999996</v>
      </c>
      <c r="E51">
        <v>351</v>
      </c>
      <c r="F51" s="2">
        <v>3.5</v>
      </c>
      <c r="G51" t="s">
        <v>256</v>
      </c>
      <c r="H51" s="3">
        <f>C51/(100+D51)*100</f>
        <v>914.91395793499044</v>
      </c>
      <c r="I51" s="7">
        <f>E51*100/(100+F51)</f>
        <v>339.13043478260869</v>
      </c>
      <c r="J51" s="5">
        <f>C51/E51</f>
        <v>2.7264957264957266</v>
      </c>
    </row>
    <row r="52" spans="1:10" x14ac:dyDescent="0.25">
      <c r="A52">
        <v>51</v>
      </c>
      <c r="B52" t="s">
        <v>325</v>
      </c>
      <c r="C52" s="3">
        <v>950</v>
      </c>
      <c r="D52" s="3">
        <v>-7.7</v>
      </c>
      <c r="E52">
        <v>576</v>
      </c>
      <c r="F52" s="2">
        <v>-3</v>
      </c>
      <c r="G52" t="s">
        <v>256</v>
      </c>
      <c r="H52" s="3">
        <f>C52/(100+D52)*100</f>
        <v>1029.252437703142</v>
      </c>
      <c r="I52" s="7">
        <f>E52*100/(100+F52)</f>
        <v>593.81443298969077</v>
      </c>
      <c r="J52" s="5">
        <f>C52/E52</f>
        <v>1.6493055555555556</v>
      </c>
    </row>
    <row r="53" spans="1:10" x14ac:dyDescent="0.25">
      <c r="A53">
        <v>52</v>
      </c>
      <c r="B53" t="s">
        <v>326</v>
      </c>
      <c r="C53" s="3">
        <v>917</v>
      </c>
      <c r="D53" s="3">
        <v>1.4</v>
      </c>
      <c r="E53">
        <v>221</v>
      </c>
      <c r="F53" s="2">
        <v>0</v>
      </c>
      <c r="G53" t="s">
        <v>327</v>
      </c>
      <c r="H53" s="3">
        <f>C53/(100+D53)*100</f>
        <v>904.33925049309653</v>
      </c>
      <c r="I53" s="7">
        <f>E53*100/(100+F53)</f>
        <v>221</v>
      </c>
      <c r="J53" s="5">
        <f>C53/E53</f>
        <v>4.1493212669683261</v>
      </c>
    </row>
    <row r="54" spans="1:10" x14ac:dyDescent="0.25">
      <c r="A54">
        <v>53</v>
      </c>
      <c r="B54" t="s">
        <v>328</v>
      </c>
      <c r="C54" s="3">
        <v>901</v>
      </c>
      <c r="D54" s="3">
        <v>5.9</v>
      </c>
      <c r="E54">
        <v>730</v>
      </c>
      <c r="F54" s="2">
        <v>-2.9</v>
      </c>
      <c r="G54" t="s">
        <v>274</v>
      </c>
      <c r="H54" s="3">
        <f>C54/(100+D54)*100</f>
        <v>850.80264400377712</v>
      </c>
      <c r="I54" s="7">
        <f>E54*100/(100+F54)</f>
        <v>751.80226570545835</v>
      </c>
      <c r="J54" s="5">
        <f>C54/E54</f>
        <v>1.2342465753424658</v>
      </c>
    </row>
    <row r="55" spans="1:10" x14ac:dyDescent="0.25">
      <c r="A55">
        <v>54</v>
      </c>
      <c r="B55" t="s">
        <v>329</v>
      </c>
      <c r="C55" s="3">
        <v>894</v>
      </c>
      <c r="D55" s="3">
        <v>3</v>
      </c>
      <c r="E55">
        <v>482</v>
      </c>
      <c r="F55" s="2">
        <v>-0.4</v>
      </c>
      <c r="G55" t="s">
        <v>260</v>
      </c>
      <c r="H55" s="3">
        <f>C55/(100+D55)*100</f>
        <v>867.96116504854376</v>
      </c>
      <c r="I55" s="7">
        <f>E55*100/(100+F55)</f>
        <v>483.93574297188758</v>
      </c>
      <c r="J55" s="5">
        <f>C55/E55</f>
        <v>1.8547717842323652</v>
      </c>
    </row>
    <row r="56" spans="1:10" x14ac:dyDescent="0.25">
      <c r="A56">
        <v>55</v>
      </c>
      <c r="B56" t="s">
        <v>330</v>
      </c>
      <c r="C56" s="3">
        <v>887</v>
      </c>
      <c r="D56" s="3">
        <v>4.4000000000000004</v>
      </c>
      <c r="E56">
        <v>364</v>
      </c>
      <c r="F56" s="2">
        <v>4</v>
      </c>
      <c r="G56" t="s">
        <v>331</v>
      </c>
      <c r="H56" s="3">
        <f>C56/(100+D56)*100</f>
        <v>849.61685823754783</v>
      </c>
      <c r="I56" s="7">
        <f>E56*100/(100+F56)</f>
        <v>350</v>
      </c>
      <c r="J56" s="5">
        <f>C56/E56</f>
        <v>2.4368131868131866</v>
      </c>
    </row>
    <row r="57" spans="1:10" x14ac:dyDescent="0.25">
      <c r="A57">
        <v>56</v>
      </c>
      <c r="B57" t="s">
        <v>332</v>
      </c>
      <c r="C57" s="3">
        <v>858</v>
      </c>
      <c r="D57" s="3">
        <v>0.4</v>
      </c>
      <c r="E57">
        <v>341</v>
      </c>
      <c r="F57" s="2">
        <v>0</v>
      </c>
      <c r="G57" t="s">
        <v>289</v>
      </c>
      <c r="H57" s="3">
        <f>C57/(100+D57)*100</f>
        <v>854.58167330677293</v>
      </c>
      <c r="I57" s="7">
        <f>E57*100/(100+F57)</f>
        <v>341</v>
      </c>
      <c r="J57" s="5">
        <f>C57/E57</f>
        <v>2.5161290322580645</v>
      </c>
    </row>
    <row r="58" spans="1:10" x14ac:dyDescent="0.25">
      <c r="A58">
        <v>57</v>
      </c>
      <c r="B58" t="s">
        <v>333</v>
      </c>
      <c r="C58" s="3">
        <v>850</v>
      </c>
      <c r="D58" s="3">
        <v>4</v>
      </c>
      <c r="E58">
        <v>596</v>
      </c>
      <c r="F58" s="2">
        <v>2.8</v>
      </c>
      <c r="G58" t="s">
        <v>262</v>
      </c>
      <c r="H58" s="3">
        <f>C58/(100+D58)*100</f>
        <v>817.30769230769238</v>
      </c>
      <c r="I58" s="7">
        <f>E58*100/(100+F58)</f>
        <v>579.76653696498056</v>
      </c>
      <c r="J58" s="5">
        <f>C58/E58</f>
        <v>1.4261744966442953</v>
      </c>
    </row>
    <row r="59" spans="1:10" x14ac:dyDescent="0.25">
      <c r="A59">
        <v>58</v>
      </c>
      <c r="B59" t="s">
        <v>334</v>
      </c>
      <c r="C59" s="3">
        <v>832</v>
      </c>
      <c r="D59" s="3">
        <v>4.8</v>
      </c>
      <c r="E59">
        <v>1155</v>
      </c>
      <c r="F59" s="2">
        <v>1.9</v>
      </c>
      <c r="G59" t="s">
        <v>305</v>
      </c>
      <c r="H59" s="3">
        <f>C59/(100+D59)*100</f>
        <v>793.89312977099235</v>
      </c>
      <c r="I59" s="7">
        <f>E59*100/(100+F59)</f>
        <v>1133.4641805691854</v>
      </c>
      <c r="J59" s="5">
        <f>C59/E59</f>
        <v>0.7203463203463204</v>
      </c>
    </row>
    <row r="60" spans="1:10" x14ac:dyDescent="0.25">
      <c r="A60">
        <v>59</v>
      </c>
      <c r="B60" t="s">
        <v>335</v>
      </c>
      <c r="C60" s="3">
        <v>795</v>
      </c>
      <c r="D60" s="3">
        <v>-4.2</v>
      </c>
      <c r="E60">
        <v>483</v>
      </c>
      <c r="F60" s="2">
        <v>-1.4</v>
      </c>
      <c r="G60" t="s">
        <v>293</v>
      </c>
      <c r="H60" s="3">
        <f>C60/(100+D60)*100</f>
        <v>829.85386221294368</v>
      </c>
      <c r="I60" s="7">
        <f>E60*100/(100+F60)</f>
        <v>489.85801217038545</v>
      </c>
      <c r="J60" s="5">
        <f>C60/E60</f>
        <v>1.6459627329192548</v>
      </c>
    </row>
    <row r="61" spans="1:10" x14ac:dyDescent="0.25">
      <c r="A61">
        <v>60</v>
      </c>
      <c r="B61" t="s">
        <v>336</v>
      </c>
      <c r="C61" s="3">
        <v>749</v>
      </c>
      <c r="D61" s="3">
        <v>2</v>
      </c>
      <c r="E61">
        <v>730</v>
      </c>
      <c r="F61" s="2">
        <v>1.5</v>
      </c>
      <c r="G61" t="s">
        <v>274</v>
      </c>
      <c r="H61" s="3">
        <f>C61/(100+D61)*100</f>
        <v>734.31372549019602</v>
      </c>
      <c r="I61" s="7">
        <f>E61*100/(100+F61)</f>
        <v>719.21182266009851</v>
      </c>
      <c r="J61" s="5">
        <f>C61/E61</f>
        <v>1.026027397260274</v>
      </c>
    </row>
    <row r="62" spans="1:10" x14ac:dyDescent="0.25">
      <c r="A62">
        <v>61</v>
      </c>
      <c r="B62" t="s">
        <v>337</v>
      </c>
      <c r="C62" s="3">
        <v>748</v>
      </c>
      <c r="D62" s="3">
        <v>-5.9</v>
      </c>
      <c r="E62">
        <v>1329</v>
      </c>
      <c r="F62" s="2">
        <v>-5.0999999999999996</v>
      </c>
      <c r="G62" t="s">
        <v>269</v>
      </c>
      <c r="H62" s="3">
        <f>C62/(100+D62)*100</f>
        <v>794.89904357066962</v>
      </c>
      <c r="I62" s="7">
        <f>E62*100/(100+F62)</f>
        <v>1400.4214963119073</v>
      </c>
      <c r="J62" s="5">
        <f>C62/E62</f>
        <v>0.56282919488337091</v>
      </c>
    </row>
    <row r="63" spans="1:10" x14ac:dyDescent="0.25">
      <c r="A63">
        <v>62</v>
      </c>
      <c r="B63" t="s">
        <v>338</v>
      </c>
      <c r="C63" s="3">
        <v>731</v>
      </c>
      <c r="D63" s="3">
        <v>-11.4</v>
      </c>
      <c r="E63">
        <v>451</v>
      </c>
      <c r="F63" s="2">
        <v>-8.1</v>
      </c>
      <c r="G63" t="s">
        <v>280</v>
      </c>
      <c r="H63" s="3">
        <f>C63/(100+D63)*100</f>
        <v>825.05643340857796</v>
      </c>
      <c r="I63" s="7">
        <f>E63*100/(100+F63)</f>
        <v>490.75081610446136</v>
      </c>
      <c r="J63" s="5">
        <f>C63/E63</f>
        <v>1.6208425720620843</v>
      </c>
    </row>
    <row r="64" spans="1:10" x14ac:dyDescent="0.25">
      <c r="A64">
        <v>63</v>
      </c>
      <c r="B64" t="s">
        <v>339</v>
      </c>
      <c r="C64" s="3">
        <v>725</v>
      </c>
      <c r="D64" s="3">
        <v>7</v>
      </c>
      <c r="E64">
        <v>460</v>
      </c>
      <c r="F64" s="2">
        <v>3.6</v>
      </c>
      <c r="G64" t="s">
        <v>305</v>
      </c>
      <c r="H64" s="3">
        <f>C64/(100+D64)*100</f>
        <v>677.57009345794393</v>
      </c>
      <c r="I64" s="7">
        <f>E64*100/(100+F64)</f>
        <v>444.01544401544402</v>
      </c>
      <c r="J64" s="5">
        <f>C64/E64</f>
        <v>1.576086956521739</v>
      </c>
    </row>
    <row r="65" spans="1:10" x14ac:dyDescent="0.25">
      <c r="A65">
        <v>64</v>
      </c>
      <c r="B65" t="s">
        <v>340</v>
      </c>
      <c r="C65" s="3">
        <v>724</v>
      </c>
      <c r="D65" s="3">
        <v>0.6</v>
      </c>
      <c r="E65">
        <v>175</v>
      </c>
      <c r="F65" s="2">
        <v>2.9</v>
      </c>
      <c r="G65" t="s">
        <v>280</v>
      </c>
      <c r="H65" s="3">
        <f>C65/(100+D65)*100</f>
        <v>719.68190854870784</v>
      </c>
      <c r="I65" s="7">
        <f>E65*100/(100+F65)</f>
        <v>170.06802721088434</v>
      </c>
      <c r="J65" s="5">
        <f>C65/E65</f>
        <v>4.137142857142857</v>
      </c>
    </row>
    <row r="66" spans="1:10" x14ac:dyDescent="0.25">
      <c r="A66">
        <v>65</v>
      </c>
      <c r="B66" t="s">
        <v>341</v>
      </c>
      <c r="C66" s="3">
        <v>716</v>
      </c>
      <c r="D66" s="3">
        <v>-5.2</v>
      </c>
      <c r="E66">
        <v>1032</v>
      </c>
      <c r="F66" s="2">
        <v>-5</v>
      </c>
      <c r="G66" t="s">
        <v>260</v>
      </c>
      <c r="H66" s="3">
        <f>C66/(100+D66)*100</f>
        <v>755.27426160337563</v>
      </c>
      <c r="I66" s="7">
        <f>E66*100/(100+F66)</f>
        <v>1086.3157894736842</v>
      </c>
      <c r="J66" s="5">
        <f>C66/E66</f>
        <v>0.69379844961240311</v>
      </c>
    </row>
    <row r="67" spans="1:10" x14ac:dyDescent="0.25">
      <c r="A67">
        <v>66</v>
      </c>
      <c r="B67" t="s">
        <v>342</v>
      </c>
      <c r="C67" s="3">
        <v>714</v>
      </c>
      <c r="D67" s="3">
        <v>-3.5</v>
      </c>
      <c r="E67">
        <v>715</v>
      </c>
      <c r="F67" s="2">
        <v>-1.7</v>
      </c>
      <c r="G67" t="s">
        <v>258</v>
      </c>
      <c r="H67" s="3">
        <f>C67/(100+D67)*100</f>
        <v>739.89637305699478</v>
      </c>
      <c r="I67" s="7">
        <f>E67*100/(100+F67)</f>
        <v>727.36520854526964</v>
      </c>
      <c r="J67" s="5">
        <f>C67/E67</f>
        <v>0.99860139860139863</v>
      </c>
    </row>
    <row r="68" spans="1:10" x14ac:dyDescent="0.25">
      <c r="A68">
        <v>67</v>
      </c>
      <c r="B68" t="s">
        <v>343</v>
      </c>
      <c r="C68" s="3">
        <v>703</v>
      </c>
      <c r="D68" s="3">
        <v>1.6</v>
      </c>
      <c r="E68">
        <v>135</v>
      </c>
      <c r="F68" s="2">
        <v>1.5</v>
      </c>
      <c r="G68" t="s">
        <v>344</v>
      </c>
      <c r="H68" s="3">
        <f>C68/(100+D68)*100</f>
        <v>691.92913385826773</v>
      </c>
      <c r="I68" s="7">
        <f>E68*100/(100+F68)</f>
        <v>133.00492610837438</v>
      </c>
      <c r="J68" s="5">
        <f>C68/E68</f>
        <v>5.2074074074074073</v>
      </c>
    </row>
    <row r="69" spans="1:10" x14ac:dyDescent="0.25">
      <c r="A69">
        <v>68</v>
      </c>
      <c r="B69" t="s">
        <v>345</v>
      </c>
      <c r="C69" s="3">
        <v>653</v>
      </c>
      <c r="D69" s="3">
        <v>-1</v>
      </c>
      <c r="E69">
        <v>225</v>
      </c>
      <c r="F69" s="2">
        <v>-0.9</v>
      </c>
      <c r="G69" t="s">
        <v>278</v>
      </c>
      <c r="H69" s="3">
        <f>C69/(100+D69)*100</f>
        <v>659.59595959595958</v>
      </c>
      <c r="I69" s="7">
        <f>E69*100/(100+F69)</f>
        <v>227.04339051463171</v>
      </c>
      <c r="J69" s="5">
        <f>C69/E69</f>
        <v>2.902222222222222</v>
      </c>
    </row>
    <row r="70" spans="1:10" x14ac:dyDescent="0.25">
      <c r="A70">
        <v>69</v>
      </c>
      <c r="B70" t="s">
        <v>346</v>
      </c>
      <c r="C70" s="3">
        <v>647</v>
      </c>
      <c r="D70" s="3">
        <v>-1.1000000000000001</v>
      </c>
      <c r="E70">
        <v>283</v>
      </c>
      <c r="F70" s="2">
        <v>1.8</v>
      </c>
      <c r="G70" t="s">
        <v>305</v>
      </c>
      <c r="H70" s="3">
        <f>C70/(100+D70)*100</f>
        <v>654.19615773508588</v>
      </c>
      <c r="I70" s="7">
        <f>E70*100/(100+F70)</f>
        <v>277.99607072691555</v>
      </c>
      <c r="J70" s="5">
        <f>C70/E70</f>
        <v>2.2862190812720846</v>
      </c>
    </row>
    <row r="71" spans="1:10" x14ac:dyDescent="0.25">
      <c r="A71">
        <v>70</v>
      </c>
      <c r="B71" t="s">
        <v>347</v>
      </c>
      <c r="C71" s="3">
        <v>628</v>
      </c>
      <c r="D71" s="3">
        <v>4.8</v>
      </c>
      <c r="E71">
        <v>915</v>
      </c>
      <c r="F71" s="2">
        <v>3.6</v>
      </c>
      <c r="G71" t="s">
        <v>269</v>
      </c>
      <c r="H71" s="3">
        <f>C71/(100+D71)*100</f>
        <v>599.23664122137416</v>
      </c>
      <c r="I71" s="7">
        <f>E71*100/(100+F71)</f>
        <v>883.2046332046333</v>
      </c>
      <c r="J71" s="5">
        <f>C71/E71</f>
        <v>0.6863387978142077</v>
      </c>
    </row>
    <row r="72" spans="1:10" x14ac:dyDescent="0.25">
      <c r="A72">
        <v>71</v>
      </c>
      <c r="B72" t="s">
        <v>348</v>
      </c>
      <c r="C72" s="3">
        <v>622</v>
      </c>
      <c r="D72" s="3">
        <v>31.8</v>
      </c>
      <c r="E72">
        <v>173</v>
      </c>
      <c r="F72" s="2">
        <v>27.2</v>
      </c>
      <c r="G72" t="s">
        <v>314</v>
      </c>
      <c r="H72" s="3">
        <f>C72/(100+D72)*100</f>
        <v>471.92716236722305</v>
      </c>
      <c r="I72" s="7">
        <f>E72*100/(100+F72)</f>
        <v>136.00628930817609</v>
      </c>
      <c r="J72" s="5">
        <f>C72/E72</f>
        <v>3.5953757225433525</v>
      </c>
    </row>
    <row r="73" spans="1:10" x14ac:dyDescent="0.25">
      <c r="A73">
        <v>72</v>
      </c>
      <c r="B73" t="s">
        <v>349</v>
      </c>
      <c r="C73" s="3">
        <v>621</v>
      </c>
      <c r="D73" s="3">
        <v>-3.3</v>
      </c>
      <c r="E73">
        <v>199</v>
      </c>
      <c r="F73" s="2">
        <v>-0.5</v>
      </c>
      <c r="G73" t="s">
        <v>278</v>
      </c>
      <c r="H73" s="3">
        <f>C73/(100+D73)*100</f>
        <v>642.19234746639086</v>
      </c>
      <c r="I73" s="7">
        <f>E73*100/(100+F73)</f>
        <v>200</v>
      </c>
      <c r="J73" s="5">
        <f>C73/E73</f>
        <v>3.120603015075377</v>
      </c>
    </row>
    <row r="74" spans="1:10" x14ac:dyDescent="0.25">
      <c r="A74">
        <v>73</v>
      </c>
      <c r="B74" t="s">
        <v>350</v>
      </c>
      <c r="C74" s="3">
        <v>615</v>
      </c>
      <c r="D74" s="3">
        <v>0.6</v>
      </c>
      <c r="E74">
        <v>2524</v>
      </c>
      <c r="F74" s="2">
        <v>-1</v>
      </c>
      <c r="G74" t="s">
        <v>287</v>
      </c>
      <c r="H74" s="3">
        <f>C74/(100+D74)*100</f>
        <v>611.33200795228629</v>
      </c>
      <c r="I74" s="7">
        <f>E74*100/(100+F74)</f>
        <v>2549.4949494949497</v>
      </c>
      <c r="J74" s="5">
        <f>C74/E74</f>
        <v>0.24366085578446911</v>
      </c>
    </row>
    <row r="75" spans="1:10" x14ac:dyDescent="0.25">
      <c r="A75">
        <v>74</v>
      </c>
      <c r="B75" t="s">
        <v>351</v>
      </c>
      <c r="C75" s="3">
        <v>609</v>
      </c>
      <c r="D75" s="3">
        <v>6.6</v>
      </c>
      <c r="E75">
        <v>79</v>
      </c>
      <c r="F75" s="2">
        <v>9.6999999999999993</v>
      </c>
      <c r="G75" t="s">
        <v>280</v>
      </c>
      <c r="H75" s="3">
        <f>C75/(100+D75)*100</f>
        <v>571.29455909943715</v>
      </c>
      <c r="I75" s="7">
        <f>E75*100/(100+F75)</f>
        <v>72.014585232452134</v>
      </c>
      <c r="J75" s="5">
        <f>C75/E75</f>
        <v>7.7088607594936711</v>
      </c>
    </row>
    <row r="76" spans="1:10" x14ac:dyDescent="0.25">
      <c r="A76">
        <v>75</v>
      </c>
      <c r="B76" t="s">
        <v>352</v>
      </c>
      <c r="C76" s="3">
        <v>587</v>
      </c>
      <c r="D76" s="3">
        <v>-0.9</v>
      </c>
      <c r="E76">
        <v>197</v>
      </c>
      <c r="F76" s="2">
        <v>0</v>
      </c>
      <c r="G76" t="s">
        <v>301</v>
      </c>
      <c r="H76" s="3">
        <f>C76/(100+D76)*100</f>
        <v>592.33097880928358</v>
      </c>
      <c r="I76" s="7">
        <f>E76*100/(100+F76)</f>
        <v>197</v>
      </c>
      <c r="J76" s="5">
        <f>C76/E76</f>
        <v>2.9796954314720812</v>
      </c>
    </row>
    <row r="77" spans="1:10" x14ac:dyDescent="0.25">
      <c r="A77">
        <v>76</v>
      </c>
      <c r="B77" t="s">
        <v>353</v>
      </c>
      <c r="C77" s="3">
        <v>579</v>
      </c>
      <c r="D77" s="3">
        <v>2.4</v>
      </c>
      <c r="E77">
        <v>371</v>
      </c>
      <c r="F77" s="2">
        <v>-0.5</v>
      </c>
      <c r="G77" t="s">
        <v>256</v>
      </c>
      <c r="H77" s="3">
        <f>C77/(100+D77)*100</f>
        <v>565.4296875</v>
      </c>
      <c r="I77" s="7">
        <f>E77*100/(100+F77)</f>
        <v>372.8643216080402</v>
      </c>
      <c r="J77" s="5">
        <f>C77/E77</f>
        <v>1.5606469002695418</v>
      </c>
    </row>
    <row r="78" spans="1:10" x14ac:dyDescent="0.25">
      <c r="A78">
        <v>77</v>
      </c>
      <c r="B78" t="s">
        <v>354</v>
      </c>
      <c r="C78" s="3">
        <v>576</v>
      </c>
      <c r="D78" s="3">
        <v>21.8</v>
      </c>
      <c r="E78">
        <v>834</v>
      </c>
      <c r="F78" s="2">
        <v>16</v>
      </c>
      <c r="G78" t="s">
        <v>355</v>
      </c>
      <c r="H78" s="3">
        <f>C78/(100+D78)*100</f>
        <v>472.90640394088672</v>
      </c>
      <c r="I78" s="7">
        <f>E78*100/(100+F78)</f>
        <v>718.9655172413793</v>
      </c>
      <c r="J78" s="5">
        <f>C78/E78</f>
        <v>0.69064748201438853</v>
      </c>
    </row>
    <row r="79" spans="1:10" x14ac:dyDescent="0.25">
      <c r="A79">
        <v>78</v>
      </c>
      <c r="B79" t="s">
        <v>356</v>
      </c>
      <c r="C79" s="3">
        <v>571</v>
      </c>
      <c r="D79" s="3">
        <v>6.5</v>
      </c>
      <c r="E79">
        <v>132</v>
      </c>
      <c r="F79" s="2">
        <v>10.9</v>
      </c>
      <c r="G79" t="s">
        <v>357</v>
      </c>
      <c r="H79" s="3">
        <f>C79/(100+D79)*100</f>
        <v>536.15023474178406</v>
      </c>
      <c r="I79" s="7">
        <f>E79*100/(100+F79)</f>
        <v>119.02614968440035</v>
      </c>
      <c r="J79" s="5">
        <f>C79/E79</f>
        <v>4.3257575757575761</v>
      </c>
    </row>
    <row r="80" spans="1:10" x14ac:dyDescent="0.25">
      <c r="A80">
        <v>79</v>
      </c>
      <c r="B80" t="s">
        <v>358</v>
      </c>
      <c r="C80" s="3">
        <v>567</v>
      </c>
      <c r="D80" s="3">
        <v>15</v>
      </c>
      <c r="E80">
        <v>369</v>
      </c>
      <c r="F80" s="2">
        <v>13.2</v>
      </c>
      <c r="G80" t="s">
        <v>258</v>
      </c>
      <c r="H80" s="3">
        <f>C80/(100+D80)*100</f>
        <v>493.04347826086962</v>
      </c>
      <c r="I80" s="7">
        <f>E80*100/(100+F80)</f>
        <v>325.97173144876325</v>
      </c>
      <c r="J80" s="5">
        <f>C80/E80</f>
        <v>1.5365853658536586</v>
      </c>
    </row>
    <row r="81" spans="1:10" x14ac:dyDescent="0.25">
      <c r="A81">
        <v>80</v>
      </c>
      <c r="B81" t="s">
        <v>359</v>
      </c>
      <c r="C81" s="3">
        <v>561</v>
      </c>
      <c r="D81" s="3">
        <v>3.1</v>
      </c>
      <c r="E81">
        <v>540</v>
      </c>
      <c r="F81" s="2">
        <v>2.1</v>
      </c>
      <c r="G81" t="s">
        <v>360</v>
      </c>
      <c r="H81" s="3">
        <f>C81/(100+D81)*100</f>
        <v>544.13191076624639</v>
      </c>
      <c r="I81" s="7">
        <f>E81*100/(100+F81)</f>
        <v>528.8932419196866</v>
      </c>
      <c r="J81" s="5">
        <f>C81/E81</f>
        <v>1.038888888888889</v>
      </c>
    </row>
    <row r="82" spans="1:10" x14ac:dyDescent="0.25">
      <c r="A82">
        <v>81</v>
      </c>
      <c r="B82" t="s">
        <v>361</v>
      </c>
      <c r="C82" s="3">
        <v>559</v>
      </c>
      <c r="D82" s="3">
        <v>0.2</v>
      </c>
      <c r="E82">
        <v>1288</v>
      </c>
      <c r="F82" s="2">
        <v>-0.5</v>
      </c>
      <c r="G82" t="s">
        <v>331</v>
      </c>
      <c r="H82" s="3">
        <f>C82/(100+D82)*100</f>
        <v>557.88423153692611</v>
      </c>
      <c r="I82" s="7">
        <f>E82*100/(100+F82)</f>
        <v>1294.4723618090452</v>
      </c>
      <c r="J82" s="5">
        <f>C82/E82</f>
        <v>0.43400621118012422</v>
      </c>
    </row>
    <row r="83" spans="1:10" x14ac:dyDescent="0.25">
      <c r="A83">
        <v>82</v>
      </c>
      <c r="B83" t="s">
        <v>362</v>
      </c>
      <c r="C83" s="3">
        <v>558</v>
      </c>
      <c r="D83" s="3">
        <v>35.1</v>
      </c>
      <c r="E83">
        <v>368</v>
      </c>
      <c r="F83" s="2">
        <v>24.7</v>
      </c>
      <c r="G83" t="s">
        <v>293</v>
      </c>
      <c r="H83" s="3">
        <f>C83/(100+D83)*100</f>
        <v>413.02738712065138</v>
      </c>
      <c r="I83" s="7">
        <f>E83*100/(100+F83)</f>
        <v>295.10825982357659</v>
      </c>
      <c r="J83" s="5">
        <f>C83/E83</f>
        <v>1.5163043478260869</v>
      </c>
    </row>
    <row r="84" spans="1:10" x14ac:dyDescent="0.25">
      <c r="A84">
        <v>83</v>
      </c>
      <c r="B84" t="s">
        <v>363</v>
      </c>
      <c r="C84" s="3">
        <v>541</v>
      </c>
      <c r="D84" s="3">
        <v>-9.5</v>
      </c>
      <c r="E84">
        <v>309</v>
      </c>
      <c r="F84" s="2">
        <v>-13</v>
      </c>
      <c r="G84" t="s">
        <v>293</v>
      </c>
      <c r="H84" s="3">
        <f>C84/(100+D84)*100</f>
        <v>597.79005524861873</v>
      </c>
      <c r="I84" s="7">
        <f>E84*100/(100+F84)</f>
        <v>355.17241379310343</v>
      </c>
      <c r="J84" s="5">
        <f>C84/E84</f>
        <v>1.7508090614886731</v>
      </c>
    </row>
    <row r="85" spans="1:10" x14ac:dyDescent="0.25">
      <c r="A85">
        <v>84</v>
      </c>
      <c r="B85" t="s">
        <v>364</v>
      </c>
      <c r="C85" s="3">
        <v>535</v>
      </c>
      <c r="D85" s="3">
        <v>12.9</v>
      </c>
      <c r="E85">
        <v>368</v>
      </c>
      <c r="F85" s="2">
        <v>12.2</v>
      </c>
      <c r="G85" t="s">
        <v>314</v>
      </c>
      <c r="H85" s="3">
        <f>C85/(100+D85)*100</f>
        <v>473.87068201948625</v>
      </c>
      <c r="I85" s="7">
        <f>E85*100/(100+F85)</f>
        <v>327.98573975044565</v>
      </c>
      <c r="J85" s="5">
        <f>C85/E85</f>
        <v>1.4538043478260869</v>
      </c>
    </row>
    <row r="86" spans="1:10" x14ac:dyDescent="0.25">
      <c r="A86">
        <v>85</v>
      </c>
      <c r="B86" t="s">
        <v>365</v>
      </c>
      <c r="C86" s="3">
        <v>535</v>
      </c>
      <c r="D86" s="3">
        <v>-1.8</v>
      </c>
      <c r="E86">
        <v>584</v>
      </c>
      <c r="F86" s="2">
        <v>-0.2</v>
      </c>
      <c r="G86" t="s">
        <v>256</v>
      </c>
      <c r="H86" s="3">
        <f>C86/(100+D86)*100</f>
        <v>544.8065173116089</v>
      </c>
      <c r="I86" s="7">
        <f>E86*100/(100+F86)</f>
        <v>585.17034068136275</v>
      </c>
      <c r="J86" s="5">
        <f>C86/E86</f>
        <v>0.91609589041095896</v>
      </c>
    </row>
    <row r="87" spans="1:10" x14ac:dyDescent="0.25">
      <c r="A87">
        <v>86</v>
      </c>
      <c r="B87" t="s">
        <v>366</v>
      </c>
      <c r="C87" s="3">
        <v>533</v>
      </c>
      <c r="D87" s="3">
        <v>0.9</v>
      </c>
      <c r="E87">
        <v>457</v>
      </c>
      <c r="F87" s="2">
        <v>-0.4</v>
      </c>
      <c r="G87" t="s">
        <v>282</v>
      </c>
      <c r="H87" s="3">
        <f>C87/(100+D87)*100</f>
        <v>528.2457879088206</v>
      </c>
      <c r="I87" s="7">
        <f>E87*100/(100+F87)</f>
        <v>458.83534136546189</v>
      </c>
      <c r="J87" s="5">
        <f>C87/E87</f>
        <v>1.1663019693654266</v>
      </c>
    </row>
    <row r="88" spans="1:10" x14ac:dyDescent="0.25">
      <c r="A88">
        <v>87</v>
      </c>
      <c r="B88" t="s">
        <v>367</v>
      </c>
      <c r="C88" s="3">
        <v>517</v>
      </c>
      <c r="D88" s="3">
        <v>-2.1</v>
      </c>
      <c r="E88">
        <v>710</v>
      </c>
      <c r="F88" s="2">
        <v>-2.6</v>
      </c>
      <c r="G88" t="s">
        <v>368</v>
      </c>
      <c r="H88" s="3">
        <f>C88/(100+D88)*100</f>
        <v>528.08988764044943</v>
      </c>
      <c r="I88" s="7">
        <f>E88*100/(100+F88)</f>
        <v>728.95277207392189</v>
      </c>
      <c r="J88" s="5">
        <f>C88/E88</f>
        <v>0.72816901408450707</v>
      </c>
    </row>
    <row r="89" spans="1:10" x14ac:dyDescent="0.25">
      <c r="A89">
        <v>88</v>
      </c>
      <c r="B89" t="s">
        <v>369</v>
      </c>
      <c r="C89" s="3">
        <v>514</v>
      </c>
      <c r="D89" s="3">
        <v>0.8</v>
      </c>
      <c r="E89">
        <v>767</v>
      </c>
      <c r="F89" s="2">
        <v>-1.8</v>
      </c>
      <c r="G89" t="s">
        <v>355</v>
      </c>
      <c r="H89" s="3">
        <f>C89/(100+D89)*100</f>
        <v>509.920634920635</v>
      </c>
      <c r="I89" s="7">
        <f>E89*100/(100+F89)</f>
        <v>781.05906313645619</v>
      </c>
      <c r="J89" s="5">
        <f>C89/E89</f>
        <v>0.6701434159061278</v>
      </c>
    </row>
    <row r="90" spans="1:10" x14ac:dyDescent="0.25">
      <c r="A90">
        <v>89</v>
      </c>
      <c r="B90" t="s">
        <v>370</v>
      </c>
      <c r="C90" s="3">
        <v>505</v>
      </c>
      <c r="D90" s="3">
        <v>12.2</v>
      </c>
      <c r="E90">
        <v>62</v>
      </c>
      <c r="F90" s="2">
        <v>8.8000000000000007</v>
      </c>
      <c r="G90" t="s">
        <v>305</v>
      </c>
      <c r="H90" s="3">
        <f>C90/(100+D90)*100</f>
        <v>450.08912655971483</v>
      </c>
      <c r="I90" s="7">
        <f>E90*100/(100+F90)</f>
        <v>56.985294117647058</v>
      </c>
      <c r="J90" s="5">
        <f>C90/E90</f>
        <v>8.1451612903225801</v>
      </c>
    </row>
    <row r="91" spans="1:10" x14ac:dyDescent="0.25">
      <c r="A91">
        <v>90</v>
      </c>
      <c r="B91" t="s">
        <v>371</v>
      </c>
      <c r="C91" s="3">
        <v>501</v>
      </c>
      <c r="D91" s="3">
        <v>-9.9</v>
      </c>
      <c r="E91">
        <v>390</v>
      </c>
      <c r="F91" s="2">
        <v>-14.1</v>
      </c>
      <c r="G91" t="s">
        <v>308</v>
      </c>
      <c r="H91" s="3">
        <f>C91/(100+D91)*100</f>
        <v>556.04883462819089</v>
      </c>
      <c r="I91" s="7">
        <f>E91*100/(100+F91)</f>
        <v>454.01629802095459</v>
      </c>
      <c r="J91" s="5">
        <f>C91/E91</f>
        <v>1.2846153846153847</v>
      </c>
    </row>
    <row r="92" spans="1:10" x14ac:dyDescent="0.25">
      <c r="A92">
        <v>91</v>
      </c>
      <c r="B92" t="s">
        <v>372</v>
      </c>
      <c r="C92" s="3">
        <v>500</v>
      </c>
      <c r="D92" s="3">
        <v>14.5</v>
      </c>
      <c r="E92">
        <v>273</v>
      </c>
      <c r="F92" s="2">
        <v>10.5</v>
      </c>
      <c r="G92" t="s">
        <v>314</v>
      </c>
      <c r="H92" s="3">
        <f>C92/(100+D92)*100</f>
        <v>436.68122270742361</v>
      </c>
      <c r="I92" s="7">
        <f>E92*100/(100+F92)</f>
        <v>247.05882352941177</v>
      </c>
      <c r="J92" s="5">
        <f>C92/E92</f>
        <v>1.8315018315018314</v>
      </c>
    </row>
    <row r="93" spans="1:10" x14ac:dyDescent="0.25">
      <c r="A93">
        <v>92</v>
      </c>
      <c r="B93" t="s">
        <v>373</v>
      </c>
      <c r="C93" s="3">
        <v>496</v>
      </c>
      <c r="D93" s="3">
        <v>-3.7</v>
      </c>
      <c r="E93">
        <v>204</v>
      </c>
      <c r="F93" s="2">
        <v>-1</v>
      </c>
      <c r="G93" t="s">
        <v>295</v>
      </c>
      <c r="H93" s="3">
        <f>C93/(100+D93)*100</f>
        <v>515.05711318795431</v>
      </c>
      <c r="I93" s="7">
        <f>E93*100/(100+F93)</f>
        <v>206.06060606060606</v>
      </c>
      <c r="J93" s="5">
        <f>C93/E93</f>
        <v>2.4313725490196076</v>
      </c>
    </row>
    <row r="94" spans="1:10" x14ac:dyDescent="0.25">
      <c r="A94">
        <v>93</v>
      </c>
      <c r="B94" t="s">
        <v>374</v>
      </c>
      <c r="C94" s="3">
        <v>483</v>
      </c>
      <c r="D94" s="3">
        <v>23.8</v>
      </c>
      <c r="E94">
        <v>467</v>
      </c>
      <c r="F94" s="2">
        <v>18.2</v>
      </c>
      <c r="G94" t="s">
        <v>375</v>
      </c>
      <c r="H94" s="3">
        <f>C94/(100+D94)*100</f>
        <v>390.14539579967692</v>
      </c>
      <c r="I94" s="7">
        <f>E94*100/(100+F94)</f>
        <v>395.09306260575295</v>
      </c>
      <c r="J94" s="5">
        <f>C94/E94</f>
        <v>1.0342612419700214</v>
      </c>
    </row>
    <row r="95" spans="1:10" x14ac:dyDescent="0.25">
      <c r="A95">
        <v>94</v>
      </c>
      <c r="B95" t="s">
        <v>376</v>
      </c>
      <c r="C95" s="3">
        <v>462</v>
      </c>
      <c r="D95" s="3">
        <v>11.2</v>
      </c>
      <c r="E95">
        <v>972</v>
      </c>
      <c r="F95" s="2">
        <v>8</v>
      </c>
      <c r="G95" t="s">
        <v>355</v>
      </c>
      <c r="H95" s="3">
        <f>C95/(100+D95)*100</f>
        <v>415.46762589928051</v>
      </c>
      <c r="I95" s="7">
        <f>E95*100/(100+F95)</f>
        <v>900</v>
      </c>
      <c r="J95" s="5">
        <f>C95/E95</f>
        <v>0.47530864197530864</v>
      </c>
    </row>
    <row r="96" spans="1:10" x14ac:dyDescent="0.25">
      <c r="A96">
        <v>95</v>
      </c>
      <c r="B96" t="s">
        <v>377</v>
      </c>
      <c r="C96" s="3">
        <v>461</v>
      </c>
      <c r="D96" s="3">
        <v>-0.3</v>
      </c>
      <c r="E96">
        <v>187</v>
      </c>
      <c r="F96" s="2">
        <v>-1.1000000000000001</v>
      </c>
      <c r="G96" t="s">
        <v>278</v>
      </c>
      <c r="H96" s="3">
        <f>C96/(100+D96)*100</f>
        <v>462.38716148445337</v>
      </c>
      <c r="I96" s="7">
        <f>E96*100/(100+F96)</f>
        <v>189.07987866531849</v>
      </c>
      <c r="J96" s="5">
        <f>C96/E96</f>
        <v>2.46524064171123</v>
      </c>
    </row>
    <row r="97" spans="1:10" x14ac:dyDescent="0.25">
      <c r="A97">
        <v>96</v>
      </c>
      <c r="B97" t="s">
        <v>378</v>
      </c>
      <c r="C97" s="3">
        <v>461</v>
      </c>
      <c r="D97" s="3">
        <v>4.7</v>
      </c>
      <c r="E97">
        <v>58</v>
      </c>
      <c r="F97" s="2">
        <v>0</v>
      </c>
      <c r="G97" t="s">
        <v>379</v>
      </c>
      <c r="H97" s="3">
        <f>C97/(100+D97)*100</f>
        <v>440.30563514804203</v>
      </c>
      <c r="I97" s="7">
        <f>E97*100/(100+F97)</f>
        <v>58</v>
      </c>
      <c r="J97" s="5">
        <f>C97/E97</f>
        <v>7.9482758620689653</v>
      </c>
    </row>
    <row r="98" spans="1:10" x14ac:dyDescent="0.25">
      <c r="A98">
        <v>97</v>
      </c>
      <c r="B98" t="s">
        <v>380</v>
      </c>
      <c r="C98" s="3">
        <v>450</v>
      </c>
      <c r="D98" s="3">
        <v>1.3</v>
      </c>
      <c r="E98">
        <v>435</v>
      </c>
      <c r="F98" s="2">
        <v>0.7</v>
      </c>
      <c r="G98" t="s">
        <v>269</v>
      </c>
      <c r="H98" s="3">
        <f>C98/(100+D98)*100</f>
        <v>444.22507403751234</v>
      </c>
      <c r="I98" s="7">
        <f>E98*100/(100+F98)</f>
        <v>431.97616683217478</v>
      </c>
      <c r="J98" s="5">
        <f>C98/E98</f>
        <v>1.0344827586206897</v>
      </c>
    </row>
    <row r="99" spans="1:10" x14ac:dyDescent="0.25">
      <c r="A99">
        <v>98</v>
      </c>
      <c r="B99" t="s">
        <v>381</v>
      </c>
      <c r="C99" s="3">
        <v>446</v>
      </c>
      <c r="D99" s="3">
        <v>10.199999999999999</v>
      </c>
      <c r="E99">
        <v>98</v>
      </c>
      <c r="F99" s="2">
        <v>11.4</v>
      </c>
      <c r="G99" t="s">
        <v>289</v>
      </c>
      <c r="H99" s="3">
        <f>C99/(100+D99)*100</f>
        <v>404.71869328493648</v>
      </c>
      <c r="I99" s="7">
        <f>E99*100/(100+F99)</f>
        <v>87.971274685816866</v>
      </c>
      <c r="J99" s="5">
        <f>C99/E99</f>
        <v>4.5510204081632653</v>
      </c>
    </row>
    <row r="100" spans="1:10" x14ac:dyDescent="0.25">
      <c r="A100">
        <v>99</v>
      </c>
      <c r="B100" t="s">
        <v>382</v>
      </c>
      <c r="C100" s="3">
        <v>446</v>
      </c>
      <c r="D100" s="3">
        <v>-2.5</v>
      </c>
      <c r="E100">
        <v>471</v>
      </c>
      <c r="F100" s="2">
        <v>-1.5</v>
      </c>
      <c r="G100" t="s">
        <v>265</v>
      </c>
      <c r="H100" s="3">
        <f>C100/(100+D100)*100</f>
        <v>457.4358974358974</v>
      </c>
      <c r="I100" s="7">
        <f>E100*100/(100+F100)</f>
        <v>478.17258883248729</v>
      </c>
      <c r="J100" s="5">
        <f>C100/E100</f>
        <v>0.94692144373673037</v>
      </c>
    </row>
    <row r="101" spans="1:10" x14ac:dyDescent="0.25">
      <c r="A101">
        <v>100</v>
      </c>
      <c r="B101" t="s">
        <v>383</v>
      </c>
      <c r="C101" s="3">
        <v>439</v>
      </c>
      <c r="D101" s="3">
        <v>7</v>
      </c>
      <c r="E101">
        <v>537</v>
      </c>
      <c r="F101" s="2">
        <v>-2.4</v>
      </c>
      <c r="G101" t="s">
        <v>269</v>
      </c>
      <c r="H101" s="3">
        <f>C101/(100+D101)*100</f>
        <v>410.28037383177571</v>
      </c>
      <c r="I101" s="7">
        <f>E101*100/(100+F101)</f>
        <v>550.20491803278696</v>
      </c>
      <c r="J101" s="5">
        <f>C101/E101</f>
        <v>0.81750465549348228</v>
      </c>
    </row>
    <row r="102" spans="1:10" x14ac:dyDescent="0.25">
      <c r="A102">
        <v>101</v>
      </c>
      <c r="B102" t="s">
        <v>384</v>
      </c>
      <c r="C102" s="3">
        <v>435</v>
      </c>
      <c r="D102" s="3">
        <v>4.9000000000000004</v>
      </c>
      <c r="E102">
        <v>540</v>
      </c>
      <c r="F102" s="2">
        <v>2.2999999999999998</v>
      </c>
      <c r="G102" t="s">
        <v>265</v>
      </c>
      <c r="H102" s="3">
        <f>C102/(100+D102)*100</f>
        <v>414.68064823641566</v>
      </c>
      <c r="I102" s="7">
        <f>E102*100/(100+F102)</f>
        <v>527.85923753665691</v>
      </c>
      <c r="J102" s="5">
        <f>C102/E102</f>
        <v>0.80555555555555558</v>
      </c>
    </row>
    <row r="103" spans="1:10" x14ac:dyDescent="0.25">
      <c r="A103">
        <v>102</v>
      </c>
      <c r="B103" t="s">
        <v>385</v>
      </c>
      <c r="C103" s="3">
        <v>426</v>
      </c>
      <c r="D103" s="3">
        <v>7.1</v>
      </c>
      <c r="E103">
        <v>100</v>
      </c>
      <c r="F103" s="2">
        <v>0</v>
      </c>
      <c r="G103" t="s">
        <v>386</v>
      </c>
      <c r="H103" s="3">
        <f>C103/(100+D103)*100</f>
        <v>397.75910364145659</v>
      </c>
      <c r="I103" s="7">
        <f>E103*100/(100+F103)</f>
        <v>100</v>
      </c>
      <c r="J103" s="5">
        <f>C103/E103</f>
        <v>4.26</v>
      </c>
    </row>
    <row r="104" spans="1:10" x14ac:dyDescent="0.25">
      <c r="A104">
        <v>103</v>
      </c>
      <c r="B104" t="s">
        <v>387</v>
      </c>
      <c r="C104" s="3">
        <v>426</v>
      </c>
      <c r="D104" s="3">
        <v>-7.6</v>
      </c>
      <c r="E104">
        <v>196</v>
      </c>
      <c r="F104" s="2">
        <v>-5.3</v>
      </c>
      <c r="G104" t="s">
        <v>388</v>
      </c>
      <c r="H104" s="3">
        <f>C104/(100+D104)*100</f>
        <v>461.03896103896102</v>
      </c>
      <c r="I104" s="7">
        <f>E104*100/(100+F104)</f>
        <v>206.96937697993664</v>
      </c>
      <c r="J104" s="5">
        <f>C104/E104</f>
        <v>2.1734693877551021</v>
      </c>
    </row>
    <row r="105" spans="1:10" x14ac:dyDescent="0.25">
      <c r="A105">
        <v>104</v>
      </c>
      <c r="B105" t="s">
        <v>389</v>
      </c>
      <c r="C105" s="3">
        <v>425</v>
      </c>
      <c r="D105" s="3">
        <v>-2.1</v>
      </c>
      <c r="E105">
        <v>174</v>
      </c>
      <c r="F105" s="2">
        <v>3</v>
      </c>
      <c r="G105" t="s">
        <v>390</v>
      </c>
      <c r="H105" s="3">
        <f>C105/(100+D105)*100</f>
        <v>434.11644535240043</v>
      </c>
      <c r="I105" s="7">
        <f>E105*100/(100+F105)</f>
        <v>168.93203883495147</v>
      </c>
      <c r="J105" s="5">
        <f>C105/E105</f>
        <v>2.4425287356321839</v>
      </c>
    </row>
    <row r="106" spans="1:10" x14ac:dyDescent="0.25">
      <c r="A106">
        <v>105</v>
      </c>
      <c r="B106" t="s">
        <v>391</v>
      </c>
      <c r="C106" s="3">
        <v>417</v>
      </c>
      <c r="D106" s="3">
        <v>1.1000000000000001</v>
      </c>
      <c r="E106">
        <v>53</v>
      </c>
      <c r="F106" s="2">
        <v>1.9</v>
      </c>
      <c r="G106" t="s">
        <v>392</v>
      </c>
      <c r="H106" s="3">
        <f>C106/(100+D106)*100</f>
        <v>412.46290801186944</v>
      </c>
      <c r="I106" s="7">
        <f>E106*100/(100+F106)</f>
        <v>52.011776251226692</v>
      </c>
      <c r="J106" s="5">
        <f>C106/E106</f>
        <v>7.867924528301887</v>
      </c>
    </row>
    <row r="107" spans="1:10" x14ac:dyDescent="0.25">
      <c r="A107">
        <v>106</v>
      </c>
      <c r="B107" t="s">
        <v>393</v>
      </c>
      <c r="C107" s="3">
        <v>410</v>
      </c>
      <c r="D107" s="3">
        <v>-1.4</v>
      </c>
      <c r="E107">
        <v>420</v>
      </c>
      <c r="F107" s="2">
        <v>0.7</v>
      </c>
      <c r="G107" t="s">
        <v>394</v>
      </c>
      <c r="H107" s="3">
        <f>C107/(100+D107)*100</f>
        <v>415.82150101419882</v>
      </c>
      <c r="I107" s="7">
        <f>E107*100/(100+F107)</f>
        <v>417.08043694141014</v>
      </c>
      <c r="J107" s="5">
        <f>C107/E107</f>
        <v>0.97619047619047616</v>
      </c>
    </row>
    <row r="108" spans="1:10" x14ac:dyDescent="0.25">
      <c r="A108">
        <v>107</v>
      </c>
      <c r="B108" t="s">
        <v>395</v>
      </c>
      <c r="C108" s="3">
        <v>404</v>
      </c>
      <c r="D108" s="3">
        <v>-8.1999999999999993</v>
      </c>
      <c r="E108">
        <v>850</v>
      </c>
      <c r="F108" s="2">
        <v>-2.4</v>
      </c>
      <c r="G108" t="s">
        <v>396</v>
      </c>
      <c r="H108" s="3">
        <f>C108/(100+D108)*100</f>
        <v>440.08714596949892</v>
      </c>
      <c r="I108" s="7">
        <f>E108*100/(100+F108)</f>
        <v>870.90163934426232</v>
      </c>
      <c r="J108" s="5">
        <f>C108/E108</f>
        <v>0.47529411764705881</v>
      </c>
    </row>
    <row r="109" spans="1:10" x14ac:dyDescent="0.25">
      <c r="A109">
        <v>108</v>
      </c>
      <c r="B109" t="s">
        <v>397</v>
      </c>
      <c r="C109" s="3">
        <v>402</v>
      </c>
      <c r="D109" s="3">
        <v>14.9</v>
      </c>
      <c r="E109">
        <v>88</v>
      </c>
      <c r="F109" s="2">
        <v>10</v>
      </c>
      <c r="G109" t="s">
        <v>344</v>
      </c>
      <c r="H109" s="3">
        <f>C109/(100+D109)*100</f>
        <v>349.86945169712789</v>
      </c>
      <c r="I109" s="7">
        <f>E109*100/(100+F109)</f>
        <v>80</v>
      </c>
      <c r="J109" s="5">
        <f>C109/E109</f>
        <v>4.5681818181818183</v>
      </c>
    </row>
    <row r="110" spans="1:10" x14ac:dyDescent="0.25">
      <c r="A110">
        <v>109</v>
      </c>
      <c r="B110" t="s">
        <v>398</v>
      </c>
      <c r="C110" s="3">
        <v>381</v>
      </c>
      <c r="D110" s="3">
        <v>-0.5</v>
      </c>
      <c r="E110">
        <v>537</v>
      </c>
      <c r="F110" s="2">
        <v>1.3</v>
      </c>
      <c r="G110" t="s">
        <v>394</v>
      </c>
      <c r="H110" s="3">
        <f>C110/(100+D110)*100</f>
        <v>382.9145728643216</v>
      </c>
      <c r="I110" s="7">
        <f>E110*100/(100+F110)</f>
        <v>530.10858835143142</v>
      </c>
      <c r="J110" s="5">
        <f>C110/E110</f>
        <v>0.70949720670391059</v>
      </c>
    </row>
    <row r="111" spans="1:10" x14ac:dyDescent="0.25">
      <c r="A111">
        <v>110</v>
      </c>
      <c r="B111" t="s">
        <v>399</v>
      </c>
      <c r="C111" s="3">
        <v>373</v>
      </c>
      <c r="D111" s="3">
        <v>0.5</v>
      </c>
      <c r="E111">
        <v>387</v>
      </c>
      <c r="F111" s="2">
        <v>-1.3</v>
      </c>
      <c r="G111" t="s">
        <v>386</v>
      </c>
      <c r="H111" s="3">
        <f>C111/(100+D111)*100</f>
        <v>371.1442786069652</v>
      </c>
      <c r="I111" s="7">
        <f>E111*100/(100+F111)</f>
        <v>392.09726443768994</v>
      </c>
      <c r="J111" s="5">
        <f>C111/E111</f>
        <v>0.96382428940568476</v>
      </c>
    </row>
    <row r="112" spans="1:10" x14ac:dyDescent="0.25">
      <c r="A112">
        <v>111</v>
      </c>
      <c r="B112" t="s">
        <v>400</v>
      </c>
      <c r="C112" s="3">
        <v>370</v>
      </c>
      <c r="D112" s="3">
        <v>10.5</v>
      </c>
      <c r="E112">
        <v>58</v>
      </c>
      <c r="F112" s="2">
        <v>9.4</v>
      </c>
      <c r="G112" t="s">
        <v>344</v>
      </c>
      <c r="H112" s="3">
        <f>C112/(100+D112)*100</f>
        <v>334.84162895927602</v>
      </c>
      <c r="I112" s="7">
        <f>E112*100/(100+F112)</f>
        <v>53.016453382084094</v>
      </c>
      <c r="J112" s="5">
        <f>C112/E112</f>
        <v>6.3793103448275863</v>
      </c>
    </row>
    <row r="113" spans="1:10" x14ac:dyDescent="0.25">
      <c r="A113">
        <v>112</v>
      </c>
      <c r="B113" t="s">
        <v>401</v>
      </c>
      <c r="C113" s="3">
        <v>369</v>
      </c>
      <c r="D113" s="3">
        <v>-2.2999999999999998</v>
      </c>
      <c r="E113">
        <v>895</v>
      </c>
      <c r="F113" s="2">
        <v>-0.9</v>
      </c>
      <c r="G113" t="s">
        <v>402</v>
      </c>
      <c r="H113" s="3">
        <f>C113/(100+D113)*100</f>
        <v>377.68679631525077</v>
      </c>
      <c r="I113" s="7">
        <f>E113*100/(100+F113)</f>
        <v>903.1281533804239</v>
      </c>
      <c r="J113" s="5">
        <f>C113/E113</f>
        <v>0.4122905027932961</v>
      </c>
    </row>
    <row r="114" spans="1:10" x14ac:dyDescent="0.25">
      <c r="A114">
        <v>113</v>
      </c>
      <c r="B114" t="s">
        <v>403</v>
      </c>
      <c r="C114" s="3">
        <v>366</v>
      </c>
      <c r="D114" s="3">
        <v>12.4</v>
      </c>
      <c r="E114">
        <v>313</v>
      </c>
      <c r="F114" s="2">
        <v>5.7</v>
      </c>
      <c r="G114" t="s">
        <v>394</v>
      </c>
      <c r="H114" s="3">
        <f>C114/(100+D114)*100</f>
        <v>325.62277580071168</v>
      </c>
      <c r="I114" s="7">
        <f>E114*100/(100+F114)</f>
        <v>296.12109744560075</v>
      </c>
      <c r="J114" s="5">
        <f>C114/E114</f>
        <v>1.1693290734824282</v>
      </c>
    </row>
    <row r="115" spans="1:10" x14ac:dyDescent="0.25">
      <c r="A115">
        <v>114</v>
      </c>
      <c r="B115" t="s">
        <v>404</v>
      </c>
      <c r="C115" s="3">
        <v>357</v>
      </c>
      <c r="D115" s="3">
        <v>4.3</v>
      </c>
      <c r="E115">
        <v>423</v>
      </c>
      <c r="F115" s="2">
        <v>2.2000000000000002</v>
      </c>
      <c r="G115" t="s">
        <v>405</v>
      </c>
      <c r="H115" s="3">
        <f>C115/(100+D115)*100</f>
        <v>342.2818791946309</v>
      </c>
      <c r="I115" s="7">
        <f>E115*100/(100+F115)</f>
        <v>413.89432485322897</v>
      </c>
      <c r="J115" s="5">
        <f>C115/E115</f>
        <v>0.84397163120567376</v>
      </c>
    </row>
    <row r="116" spans="1:10" x14ac:dyDescent="0.25">
      <c r="A116">
        <v>115</v>
      </c>
      <c r="B116" t="s">
        <v>406</v>
      </c>
      <c r="C116" s="3">
        <v>349</v>
      </c>
      <c r="D116" s="3">
        <v>-9.1999999999999993</v>
      </c>
      <c r="E116">
        <v>497</v>
      </c>
      <c r="F116" s="2">
        <v>-6.4</v>
      </c>
      <c r="G116" t="s">
        <v>407</v>
      </c>
      <c r="H116" s="3">
        <f>C116/(100+D116)*100</f>
        <v>384.36123348017622</v>
      </c>
      <c r="I116" s="7">
        <f>E116*100/(100+F116)</f>
        <v>530.982905982906</v>
      </c>
      <c r="J116" s="5">
        <f>C116/E116</f>
        <v>0.70221327967806846</v>
      </c>
    </row>
    <row r="117" spans="1:10" x14ac:dyDescent="0.25">
      <c r="A117">
        <v>116</v>
      </c>
      <c r="B117" t="s">
        <v>408</v>
      </c>
      <c r="C117" s="3">
        <v>348</v>
      </c>
      <c r="D117" s="3">
        <v>1.2</v>
      </c>
      <c r="E117">
        <v>256</v>
      </c>
      <c r="F117" s="2">
        <v>-1.5</v>
      </c>
      <c r="G117" t="s">
        <v>409</v>
      </c>
      <c r="H117" s="3">
        <f>C117/(100+D117)*100</f>
        <v>343.87351778656125</v>
      </c>
      <c r="I117" s="7">
        <f>E117*100/(100+F117)</f>
        <v>259.89847715736039</v>
      </c>
      <c r="J117" s="5">
        <f>C117/E117</f>
        <v>1.359375</v>
      </c>
    </row>
    <row r="118" spans="1:10" x14ac:dyDescent="0.25">
      <c r="A118">
        <v>117</v>
      </c>
      <c r="B118" t="s">
        <v>410</v>
      </c>
      <c r="C118" s="3">
        <v>348</v>
      </c>
      <c r="D118" s="3">
        <v>-3.9</v>
      </c>
      <c r="E118">
        <v>175</v>
      </c>
      <c r="F118" s="2">
        <v>-3.8</v>
      </c>
      <c r="G118" t="s">
        <v>411</v>
      </c>
      <c r="H118" s="3">
        <f>C118/(100+D118)*100</f>
        <v>362.1227887617066</v>
      </c>
      <c r="I118" s="7">
        <f>E118*100/(100+F118)</f>
        <v>181.9126819126819</v>
      </c>
      <c r="J118" s="5">
        <f>C118/E118</f>
        <v>1.9885714285714287</v>
      </c>
    </row>
    <row r="119" spans="1:10" x14ac:dyDescent="0.25">
      <c r="A119">
        <v>118</v>
      </c>
      <c r="B119" t="s">
        <v>412</v>
      </c>
      <c r="C119" s="3">
        <v>343</v>
      </c>
      <c r="D119" s="3">
        <v>-9</v>
      </c>
      <c r="E119">
        <v>318</v>
      </c>
      <c r="F119" s="2">
        <v>-10.7</v>
      </c>
      <c r="G119" t="s">
        <v>413</v>
      </c>
      <c r="H119" s="3">
        <f>C119/(100+D119)*100</f>
        <v>376.92307692307691</v>
      </c>
      <c r="I119" s="7">
        <f>E119*100/(100+F119)</f>
        <v>356.10302351623739</v>
      </c>
      <c r="J119" s="5">
        <f>C119/E119</f>
        <v>1.078616352201258</v>
      </c>
    </row>
    <row r="120" spans="1:10" x14ac:dyDescent="0.25">
      <c r="A120">
        <v>119</v>
      </c>
      <c r="B120" t="s">
        <v>414</v>
      </c>
      <c r="C120" s="3">
        <v>340</v>
      </c>
      <c r="D120" s="3">
        <v>1.6</v>
      </c>
      <c r="E120">
        <v>71</v>
      </c>
      <c r="F120" s="2">
        <v>0</v>
      </c>
      <c r="G120" t="s">
        <v>415</v>
      </c>
      <c r="H120" s="3">
        <f>C120/(100+D120)*100</f>
        <v>334.64566929133861</v>
      </c>
      <c r="I120" s="7">
        <f>E120*100/(100+F120)</f>
        <v>71</v>
      </c>
      <c r="J120" s="5">
        <f>C120/E120</f>
        <v>4.788732394366197</v>
      </c>
    </row>
    <row r="121" spans="1:10" x14ac:dyDescent="0.25">
      <c r="A121">
        <v>120</v>
      </c>
      <c r="B121" t="s">
        <v>416</v>
      </c>
      <c r="C121" s="3">
        <v>338</v>
      </c>
      <c r="D121" s="3">
        <v>19.899999999999999</v>
      </c>
      <c r="E121">
        <v>41</v>
      </c>
      <c r="F121" s="2">
        <v>17.100000000000001</v>
      </c>
      <c r="G121" t="s">
        <v>388</v>
      </c>
      <c r="H121" s="3">
        <f>C121/(100+D121)*100</f>
        <v>281.90158465387822</v>
      </c>
      <c r="I121" s="7">
        <f>E121*100/(100+F121)</f>
        <v>35.012809564474807</v>
      </c>
      <c r="J121" s="5">
        <f>C121/E121</f>
        <v>8.2439024390243905</v>
      </c>
    </row>
    <row r="122" spans="1:10" x14ac:dyDescent="0.25">
      <c r="A122">
        <v>121</v>
      </c>
      <c r="B122" t="s">
        <v>417</v>
      </c>
      <c r="C122" s="3">
        <v>338</v>
      </c>
      <c r="D122" s="3">
        <v>-3.4</v>
      </c>
      <c r="E122">
        <v>194</v>
      </c>
      <c r="F122" s="2">
        <v>-3</v>
      </c>
      <c r="G122" t="s">
        <v>418</v>
      </c>
      <c r="H122" s="3">
        <f>C122/(100+D122)*100</f>
        <v>349.89648033126298</v>
      </c>
      <c r="I122" s="7">
        <f>E122*100/(100+F122)</f>
        <v>200</v>
      </c>
      <c r="J122" s="5">
        <f>C122/E122</f>
        <v>1.7422680412371134</v>
      </c>
    </row>
    <row r="123" spans="1:10" x14ac:dyDescent="0.25">
      <c r="A123">
        <v>122</v>
      </c>
      <c r="B123" t="s">
        <v>419</v>
      </c>
      <c r="C123" s="3">
        <v>336</v>
      </c>
      <c r="D123" s="3">
        <v>15.3</v>
      </c>
      <c r="E123">
        <v>138</v>
      </c>
      <c r="F123" s="2">
        <v>15</v>
      </c>
      <c r="G123" t="s">
        <v>418</v>
      </c>
      <c r="H123" s="3">
        <f>C123/(100+D123)*100</f>
        <v>291.41370338248049</v>
      </c>
      <c r="I123" s="7">
        <f>E123*100/(100+F123)</f>
        <v>120</v>
      </c>
      <c r="J123" s="5">
        <f>C123/E123</f>
        <v>2.4347826086956523</v>
      </c>
    </row>
    <row r="124" spans="1:10" x14ac:dyDescent="0.25">
      <c r="A124">
        <v>123</v>
      </c>
      <c r="B124" t="s">
        <v>420</v>
      </c>
      <c r="C124" s="3">
        <v>335</v>
      </c>
      <c r="D124" s="3">
        <v>2.6</v>
      </c>
      <c r="E124">
        <v>84</v>
      </c>
      <c r="F124" s="2">
        <v>0</v>
      </c>
      <c r="G124" t="s">
        <v>357</v>
      </c>
      <c r="H124" s="3">
        <f>C124/(100+D124)*100</f>
        <v>326.51072124756337</v>
      </c>
      <c r="I124" s="7">
        <f>E124*100/(100+F124)</f>
        <v>84</v>
      </c>
      <c r="J124" s="5">
        <f>C124/E124</f>
        <v>3.9880952380952381</v>
      </c>
    </row>
    <row r="125" spans="1:10" x14ac:dyDescent="0.25">
      <c r="A125">
        <v>124</v>
      </c>
      <c r="B125" t="s">
        <v>421</v>
      </c>
      <c r="C125" s="3">
        <v>335</v>
      </c>
      <c r="D125" s="3">
        <v>-0.5</v>
      </c>
      <c r="E125">
        <v>373</v>
      </c>
      <c r="F125" s="2">
        <v>0.5</v>
      </c>
      <c r="G125" t="s">
        <v>409</v>
      </c>
      <c r="H125" s="3">
        <f>C125/(100+D125)*100</f>
        <v>336.68341708542715</v>
      </c>
      <c r="I125" s="7">
        <f>E125*100/(100+F125)</f>
        <v>371.1442786069652</v>
      </c>
      <c r="J125" s="5">
        <f>C125/E125</f>
        <v>0.89812332439678288</v>
      </c>
    </row>
    <row r="126" spans="1:10" x14ac:dyDescent="0.25">
      <c r="A126">
        <v>125</v>
      </c>
      <c r="B126" t="s">
        <v>422</v>
      </c>
      <c r="C126" s="3">
        <v>331</v>
      </c>
      <c r="D126" s="3">
        <v>-1.8</v>
      </c>
      <c r="E126">
        <v>383</v>
      </c>
      <c r="F126" s="2">
        <v>-1</v>
      </c>
      <c r="G126" t="s">
        <v>394</v>
      </c>
      <c r="H126" s="3">
        <f>C126/(100+D126)*100</f>
        <v>337.0672097759674</v>
      </c>
      <c r="I126" s="7">
        <f>E126*100/(100+F126)</f>
        <v>386.86868686868689</v>
      </c>
      <c r="J126" s="5">
        <f>C126/E126</f>
        <v>0.86422976501305482</v>
      </c>
    </row>
    <row r="127" spans="1:10" x14ac:dyDescent="0.25">
      <c r="A127">
        <v>126</v>
      </c>
      <c r="B127" t="s">
        <v>423</v>
      </c>
      <c r="C127" s="3">
        <v>329</v>
      </c>
      <c r="D127" s="3">
        <v>-8</v>
      </c>
      <c r="E127">
        <v>128</v>
      </c>
      <c r="F127" s="2">
        <v>-11.1</v>
      </c>
      <c r="G127" t="s">
        <v>407</v>
      </c>
      <c r="H127" s="3">
        <f>C127/(100+D127)*100</f>
        <v>357.60869565217394</v>
      </c>
      <c r="I127" s="7">
        <f>E127*100/(100+F127)</f>
        <v>143.98200224971879</v>
      </c>
      <c r="J127" s="5">
        <f>C127/E127</f>
        <v>2.5703125</v>
      </c>
    </row>
    <row r="128" spans="1:10" x14ac:dyDescent="0.25">
      <c r="A128">
        <v>127</v>
      </c>
      <c r="B128" t="s">
        <v>424</v>
      </c>
      <c r="C128" s="3">
        <v>327</v>
      </c>
      <c r="D128" s="3">
        <v>-6.1</v>
      </c>
      <c r="E128">
        <v>136</v>
      </c>
      <c r="F128" s="2">
        <v>-4.9000000000000004</v>
      </c>
      <c r="G128" t="s">
        <v>386</v>
      </c>
      <c r="H128" s="3">
        <f>C128/(100+D128)*100</f>
        <v>348.24281150159743</v>
      </c>
      <c r="I128" s="7">
        <f>E128*100/(100+F128)</f>
        <v>143.00736067297584</v>
      </c>
      <c r="J128" s="5">
        <f>C128/E128</f>
        <v>2.4044117647058822</v>
      </c>
    </row>
    <row r="129" spans="1:10" x14ac:dyDescent="0.25">
      <c r="A129">
        <v>128</v>
      </c>
      <c r="B129" t="s">
        <v>425</v>
      </c>
      <c r="C129" s="3">
        <v>326</v>
      </c>
      <c r="D129" s="3">
        <v>10.1</v>
      </c>
      <c r="E129">
        <v>43</v>
      </c>
      <c r="F129" s="2">
        <v>13.2</v>
      </c>
      <c r="G129" t="s">
        <v>344</v>
      </c>
      <c r="H129" s="3">
        <f>C129/(100+D129)*100</f>
        <v>296.094459582198</v>
      </c>
      <c r="I129" s="7">
        <f>E129*100/(100+F129)</f>
        <v>37.985865724381625</v>
      </c>
      <c r="J129" s="5">
        <f>C129/E129</f>
        <v>7.5813953488372094</v>
      </c>
    </row>
    <row r="130" spans="1:10" x14ac:dyDescent="0.25">
      <c r="A130">
        <v>129</v>
      </c>
      <c r="B130" t="s">
        <v>426</v>
      </c>
      <c r="C130" s="3">
        <v>324</v>
      </c>
      <c r="D130" s="3">
        <v>2.1</v>
      </c>
      <c r="E130">
        <v>108</v>
      </c>
      <c r="F130" s="2">
        <v>0.9</v>
      </c>
      <c r="G130" t="s">
        <v>388</v>
      </c>
      <c r="H130" s="3">
        <f>C130/(100+D130)*100</f>
        <v>317.33594515181198</v>
      </c>
      <c r="I130" s="7">
        <f>E130*100/(100+F130)</f>
        <v>107.03666997026758</v>
      </c>
      <c r="J130" s="5">
        <f>C130/E130</f>
        <v>3</v>
      </c>
    </row>
    <row r="131" spans="1:10" x14ac:dyDescent="0.25">
      <c r="A131">
        <v>130</v>
      </c>
      <c r="B131" t="s">
        <v>427</v>
      </c>
      <c r="C131" s="3">
        <v>313</v>
      </c>
      <c r="D131" s="3">
        <v>-7.9</v>
      </c>
      <c r="E131">
        <v>183</v>
      </c>
      <c r="F131" s="2">
        <v>-9</v>
      </c>
      <c r="G131" t="s">
        <v>418</v>
      </c>
      <c r="H131" s="3">
        <f>C131/(100+D131)*100</f>
        <v>339.84799131378935</v>
      </c>
      <c r="I131" s="7">
        <f>E131*100/(100+F131)</f>
        <v>201.09890109890111</v>
      </c>
      <c r="J131" s="5">
        <f>C131/E131</f>
        <v>1.7103825136612021</v>
      </c>
    </row>
    <row r="132" spans="1:10" x14ac:dyDescent="0.25">
      <c r="A132">
        <v>131</v>
      </c>
      <c r="B132" t="s">
        <v>428</v>
      </c>
      <c r="C132" s="3">
        <v>311</v>
      </c>
      <c r="D132" s="3">
        <v>-4.4000000000000004</v>
      </c>
      <c r="E132">
        <v>172</v>
      </c>
      <c r="F132" s="2">
        <v>1.2</v>
      </c>
      <c r="G132" t="s">
        <v>386</v>
      </c>
      <c r="H132" s="3">
        <f>C132/(100+D132)*100</f>
        <v>325.3138075313808</v>
      </c>
      <c r="I132" s="7">
        <f>E132*100/(100+F132)</f>
        <v>169.96047430830038</v>
      </c>
      <c r="J132" s="5">
        <f>C132/E132</f>
        <v>1.808139534883721</v>
      </c>
    </row>
    <row r="133" spans="1:10" x14ac:dyDescent="0.25">
      <c r="A133">
        <v>132</v>
      </c>
      <c r="B133" t="s">
        <v>429</v>
      </c>
      <c r="C133" s="3">
        <v>307</v>
      </c>
      <c r="D133" s="3">
        <v>1</v>
      </c>
      <c r="E133">
        <v>68</v>
      </c>
      <c r="F133" s="2">
        <v>-2.9</v>
      </c>
      <c r="G133" t="s">
        <v>344</v>
      </c>
      <c r="H133" s="3">
        <f>C133/(100+D133)*100</f>
        <v>303.96039603960395</v>
      </c>
      <c r="I133" s="7">
        <f>E133*100/(100+F133)</f>
        <v>70.030895983522143</v>
      </c>
      <c r="J133" s="5">
        <f>C133/E133</f>
        <v>4.5147058823529411</v>
      </c>
    </row>
    <row r="134" spans="1:10" x14ac:dyDescent="0.25">
      <c r="A134">
        <v>133</v>
      </c>
      <c r="B134" t="s">
        <v>430</v>
      </c>
      <c r="C134" s="3">
        <v>306</v>
      </c>
      <c r="D134" s="3">
        <v>6.7</v>
      </c>
      <c r="E134">
        <v>464</v>
      </c>
      <c r="F134" s="2">
        <v>3.8</v>
      </c>
      <c r="G134" t="s">
        <v>405</v>
      </c>
      <c r="H134" s="3">
        <f>C134/(100+D134)*100</f>
        <v>286.78537956888471</v>
      </c>
      <c r="I134" s="7">
        <f>E134*100/(100+F134)</f>
        <v>447.01348747591521</v>
      </c>
      <c r="J134" s="5">
        <f>C134/E134</f>
        <v>0.65948275862068961</v>
      </c>
    </row>
    <row r="135" spans="1:10" x14ac:dyDescent="0.25">
      <c r="A135">
        <v>134</v>
      </c>
      <c r="B135" t="s">
        <v>431</v>
      </c>
      <c r="C135" s="3">
        <v>290</v>
      </c>
      <c r="D135" s="3">
        <v>9.8000000000000007</v>
      </c>
      <c r="E135">
        <v>176</v>
      </c>
      <c r="F135" s="2">
        <v>8.6</v>
      </c>
      <c r="G135" t="s">
        <v>413</v>
      </c>
      <c r="H135" s="3">
        <f>C135/(100+D135)*100</f>
        <v>264.11657559198545</v>
      </c>
      <c r="I135" s="7">
        <f>E135*100/(100+F135)</f>
        <v>162.06261510128914</v>
      </c>
      <c r="J135" s="5">
        <f>C135/E135</f>
        <v>1.6477272727272727</v>
      </c>
    </row>
    <row r="136" spans="1:10" x14ac:dyDescent="0.25">
      <c r="A136">
        <v>135</v>
      </c>
      <c r="B136" t="s">
        <v>432</v>
      </c>
      <c r="C136" s="3">
        <v>289</v>
      </c>
      <c r="D136" s="3">
        <v>-8.1</v>
      </c>
      <c r="E136">
        <v>170</v>
      </c>
      <c r="F136" s="2">
        <v>-5.6</v>
      </c>
      <c r="G136" t="s">
        <v>411</v>
      </c>
      <c r="H136" s="3">
        <f>C136/(100+D136)*100</f>
        <v>314.47225244831338</v>
      </c>
      <c r="I136" s="7">
        <f>E136*100/(100+F136)</f>
        <v>180.08474576271186</v>
      </c>
      <c r="J136" s="5">
        <f>C136/E136</f>
        <v>1.7</v>
      </c>
    </row>
    <row r="137" spans="1:10" x14ac:dyDescent="0.25">
      <c r="A137">
        <v>136</v>
      </c>
      <c r="B137" t="s">
        <v>433</v>
      </c>
      <c r="C137" s="3">
        <v>284</v>
      </c>
      <c r="D137" s="3">
        <v>-5.6</v>
      </c>
      <c r="E137">
        <v>128</v>
      </c>
      <c r="F137" s="2">
        <v>-3</v>
      </c>
      <c r="G137" t="s">
        <v>388</v>
      </c>
      <c r="H137" s="3">
        <f>C137/(100+D137)*100</f>
        <v>300.84745762711862</v>
      </c>
      <c r="I137" s="7">
        <f>E137*100/(100+F137)</f>
        <v>131.95876288659792</v>
      </c>
      <c r="J137" s="5">
        <f>C137/E137</f>
        <v>2.21875</v>
      </c>
    </row>
    <row r="138" spans="1:10" x14ac:dyDescent="0.25">
      <c r="A138">
        <v>137</v>
      </c>
      <c r="B138" t="s">
        <v>434</v>
      </c>
      <c r="C138" s="3">
        <v>281</v>
      </c>
      <c r="D138" s="3">
        <v>2.4</v>
      </c>
      <c r="E138">
        <v>224</v>
      </c>
      <c r="F138" s="2">
        <v>-0.4</v>
      </c>
      <c r="G138" t="s">
        <v>435</v>
      </c>
      <c r="H138" s="3">
        <f>C138/(100+D138)*100</f>
        <v>274.4140625</v>
      </c>
      <c r="I138" s="7">
        <f>E138*100/(100+F138)</f>
        <v>224.89959839357431</v>
      </c>
      <c r="J138" s="5">
        <f>C138/E138</f>
        <v>1.2544642857142858</v>
      </c>
    </row>
    <row r="139" spans="1:10" x14ac:dyDescent="0.25">
      <c r="A139">
        <v>138</v>
      </c>
      <c r="B139" t="s">
        <v>436</v>
      </c>
      <c r="C139" s="3">
        <v>275</v>
      </c>
      <c r="D139" s="3">
        <v>4.5</v>
      </c>
      <c r="E139">
        <v>109</v>
      </c>
      <c r="F139" s="2">
        <v>1.9</v>
      </c>
      <c r="G139" t="s">
        <v>392</v>
      </c>
      <c r="H139" s="3">
        <f>C139/(100+D139)*100</f>
        <v>263.15789473684214</v>
      </c>
      <c r="I139" s="7">
        <f>E139*100/(100+F139)</f>
        <v>106.96761530912659</v>
      </c>
      <c r="J139" s="5">
        <f>C139/E139</f>
        <v>2.522935779816514</v>
      </c>
    </row>
    <row r="140" spans="1:10" x14ac:dyDescent="0.25">
      <c r="A140">
        <v>139</v>
      </c>
      <c r="B140" t="s">
        <v>437</v>
      </c>
      <c r="C140" s="3">
        <v>275</v>
      </c>
      <c r="D140" s="3">
        <v>-3.5</v>
      </c>
      <c r="E140">
        <v>290</v>
      </c>
      <c r="F140" s="2">
        <v>-3.7</v>
      </c>
      <c r="G140" t="s">
        <v>413</v>
      </c>
      <c r="H140" s="3">
        <f>C140/(100+D140)*100</f>
        <v>284.97409326424872</v>
      </c>
      <c r="I140" s="7">
        <f>E140*100/(100+F140)</f>
        <v>301.14226375908618</v>
      </c>
      <c r="J140" s="5">
        <f>C140/E140</f>
        <v>0.94827586206896552</v>
      </c>
    </row>
    <row r="141" spans="1:10" x14ac:dyDescent="0.25">
      <c r="A141">
        <v>140</v>
      </c>
      <c r="B141" t="s">
        <v>438</v>
      </c>
      <c r="C141" s="3">
        <v>272</v>
      </c>
      <c r="D141" s="3">
        <v>17.3</v>
      </c>
      <c r="E141">
        <v>72</v>
      </c>
      <c r="F141" s="2">
        <v>14.3</v>
      </c>
      <c r="G141" t="s">
        <v>386</v>
      </c>
      <c r="H141" s="3">
        <f>C141/(100+D141)*100</f>
        <v>231.8840579710145</v>
      </c>
      <c r="I141" s="7">
        <f>E141*100/(100+F141)</f>
        <v>62.99212598425197</v>
      </c>
      <c r="J141" s="5">
        <f>C141/E141</f>
        <v>3.7777777777777777</v>
      </c>
    </row>
    <row r="142" spans="1:10" x14ac:dyDescent="0.25">
      <c r="A142">
        <v>141</v>
      </c>
      <c r="B142" t="s">
        <v>439</v>
      </c>
      <c r="C142" s="3">
        <v>269</v>
      </c>
      <c r="D142" s="3">
        <v>7.3</v>
      </c>
      <c r="E142">
        <v>212</v>
      </c>
      <c r="F142" s="2">
        <v>2.9</v>
      </c>
      <c r="G142" t="s">
        <v>394</v>
      </c>
      <c r="H142" s="3">
        <f>C142/(100+D142)*100</f>
        <v>250.69897483690588</v>
      </c>
      <c r="I142" s="7">
        <f>E142*100/(100+F142)</f>
        <v>206.02526724975704</v>
      </c>
      <c r="J142" s="5">
        <f>C142/E142</f>
        <v>1.2688679245283019</v>
      </c>
    </row>
    <row r="143" spans="1:10" x14ac:dyDescent="0.25">
      <c r="A143">
        <v>142</v>
      </c>
      <c r="B143" t="s">
        <v>440</v>
      </c>
      <c r="C143" s="3">
        <v>269</v>
      </c>
      <c r="D143" s="3">
        <v>3.1</v>
      </c>
      <c r="E143">
        <v>40</v>
      </c>
      <c r="F143" s="2">
        <v>0</v>
      </c>
      <c r="G143" t="s">
        <v>396</v>
      </c>
      <c r="H143" s="3">
        <f>C143/(100+D143)*100</f>
        <v>260.91173617846749</v>
      </c>
      <c r="I143" s="7">
        <f>E143*100/(100+F143)</f>
        <v>40</v>
      </c>
      <c r="J143" s="5">
        <f>C143/E143</f>
        <v>6.7249999999999996</v>
      </c>
    </row>
    <row r="144" spans="1:10" x14ac:dyDescent="0.25">
      <c r="A144">
        <v>143</v>
      </c>
      <c r="B144" t="s">
        <v>441</v>
      </c>
      <c r="C144" s="3">
        <v>268</v>
      </c>
      <c r="D144" s="3">
        <v>2.2000000000000002</v>
      </c>
      <c r="E144">
        <v>281</v>
      </c>
      <c r="F144" s="2">
        <v>0</v>
      </c>
      <c r="G144" t="s">
        <v>402</v>
      </c>
      <c r="H144" s="3">
        <f>C144/(100+D144)*100</f>
        <v>262.23091976516633</v>
      </c>
      <c r="I144" s="7">
        <f>E144*100/(100+F144)</f>
        <v>281</v>
      </c>
      <c r="J144" s="5">
        <f>C144/E144</f>
        <v>0.9537366548042705</v>
      </c>
    </row>
    <row r="145" spans="1:10" x14ac:dyDescent="0.25">
      <c r="A145">
        <v>144</v>
      </c>
      <c r="B145" t="s">
        <v>442</v>
      </c>
      <c r="C145" s="3">
        <v>268</v>
      </c>
      <c r="D145" s="3">
        <v>-12.5</v>
      </c>
      <c r="E145">
        <v>150</v>
      </c>
      <c r="F145" s="2">
        <v>-16.7</v>
      </c>
      <c r="G145" t="s">
        <v>435</v>
      </c>
      <c r="H145" s="3">
        <f>C145/(100+D145)*100</f>
        <v>306.28571428571428</v>
      </c>
      <c r="I145" s="7">
        <f>E145*100/(100+F145)</f>
        <v>180.0720288115246</v>
      </c>
      <c r="J145" s="5">
        <f>C145/E145</f>
        <v>1.7866666666666666</v>
      </c>
    </row>
    <row r="146" spans="1:10" x14ac:dyDescent="0.25">
      <c r="A146">
        <v>145</v>
      </c>
      <c r="B146" t="s">
        <v>443</v>
      </c>
      <c r="C146" s="3">
        <v>267</v>
      </c>
      <c r="D146" s="3">
        <v>9.9</v>
      </c>
      <c r="E146">
        <v>126</v>
      </c>
      <c r="F146" s="2">
        <v>6.8</v>
      </c>
      <c r="G146" t="s">
        <v>386</v>
      </c>
      <c r="H146" s="3">
        <f>C146/(100+D146)*100</f>
        <v>242.94813466787991</v>
      </c>
      <c r="I146" s="7">
        <f>E146*100/(100+F146)</f>
        <v>117.97752808988764</v>
      </c>
      <c r="J146" s="5">
        <f>C146/E146</f>
        <v>2.1190476190476191</v>
      </c>
    </row>
    <row r="147" spans="1:10" x14ac:dyDescent="0.25">
      <c r="A147">
        <v>146</v>
      </c>
      <c r="B147" t="s">
        <v>444</v>
      </c>
      <c r="C147" s="3">
        <v>266</v>
      </c>
      <c r="D147" s="3">
        <v>-1.5</v>
      </c>
      <c r="E147">
        <v>63</v>
      </c>
      <c r="F147" s="2">
        <v>-1.6</v>
      </c>
      <c r="G147" t="s">
        <v>344</v>
      </c>
      <c r="H147" s="3">
        <f>C147/(100+D147)*100</f>
        <v>270.05076142131981</v>
      </c>
      <c r="I147" s="7">
        <f>E147*100/(100+F147)</f>
        <v>64.024390243902431</v>
      </c>
      <c r="J147" s="5">
        <f>C147/E147</f>
        <v>4.2222222222222223</v>
      </c>
    </row>
    <row r="148" spans="1:10" x14ac:dyDescent="0.25">
      <c r="A148">
        <v>147</v>
      </c>
      <c r="B148" t="s">
        <v>445</v>
      </c>
      <c r="C148" s="3">
        <v>265</v>
      </c>
      <c r="D148" s="3">
        <v>-6.5</v>
      </c>
      <c r="E148">
        <v>312</v>
      </c>
      <c r="F148" s="2">
        <v>-3.4</v>
      </c>
      <c r="G148" t="s">
        <v>413</v>
      </c>
      <c r="H148" s="3">
        <f>C148/(100+D148)*100</f>
        <v>283.42245989304809</v>
      </c>
      <c r="I148" s="7">
        <f>E148*100/(100+F148)</f>
        <v>322.98136645962734</v>
      </c>
      <c r="J148" s="5">
        <f>C148/E148</f>
        <v>0.84935897435897434</v>
      </c>
    </row>
    <row r="149" spans="1:10" x14ac:dyDescent="0.25">
      <c r="A149">
        <v>148</v>
      </c>
      <c r="B149" t="s">
        <v>446</v>
      </c>
      <c r="C149" s="3">
        <v>265</v>
      </c>
      <c r="D149" s="3">
        <v>3.6</v>
      </c>
      <c r="E149">
        <v>330</v>
      </c>
      <c r="F149" s="2">
        <v>1.5</v>
      </c>
      <c r="G149" t="s">
        <v>409</v>
      </c>
      <c r="H149" s="3">
        <f>C149/(100+D149)*100</f>
        <v>255.79150579150581</v>
      </c>
      <c r="I149" s="7">
        <f>E149*100/(100+F149)</f>
        <v>325.1231527093596</v>
      </c>
      <c r="J149" s="5">
        <f>C149/E149</f>
        <v>0.80303030303030298</v>
      </c>
    </row>
    <row r="150" spans="1:10" x14ac:dyDescent="0.25">
      <c r="A150">
        <v>149</v>
      </c>
      <c r="B150" t="s">
        <v>447</v>
      </c>
      <c r="C150" s="3">
        <v>259</v>
      </c>
      <c r="D150" s="3">
        <v>-3.8</v>
      </c>
      <c r="E150">
        <v>122</v>
      </c>
      <c r="F150" s="2">
        <v>-6.9</v>
      </c>
      <c r="G150" t="s">
        <v>448</v>
      </c>
      <c r="H150" s="3">
        <f>C150/(100+D150)*100</f>
        <v>269.23076923076923</v>
      </c>
      <c r="I150" s="7">
        <f>E150*100/(100+F150)</f>
        <v>131.04189044038668</v>
      </c>
      <c r="J150" s="5">
        <f>C150/E150</f>
        <v>2.122950819672131</v>
      </c>
    </row>
    <row r="151" spans="1:10" x14ac:dyDescent="0.25">
      <c r="A151">
        <v>150</v>
      </c>
      <c r="B151" t="s">
        <v>449</v>
      </c>
      <c r="C151" s="3">
        <v>253</v>
      </c>
      <c r="D151" s="3">
        <v>1.4</v>
      </c>
      <c r="E151">
        <v>44</v>
      </c>
      <c r="F151" s="2">
        <v>4.8</v>
      </c>
      <c r="G151" t="s">
        <v>388</v>
      </c>
      <c r="H151" s="3">
        <f>C151/(100+D151)*100</f>
        <v>249.50690335305717</v>
      </c>
      <c r="I151" s="7">
        <f>E151*100/(100+F151)</f>
        <v>41.984732824427482</v>
      </c>
      <c r="J151" s="5">
        <f>C151/E151</f>
        <v>5.75</v>
      </c>
    </row>
    <row r="152" spans="1:10" x14ac:dyDescent="0.25">
      <c r="A152">
        <v>151</v>
      </c>
      <c r="B152" t="s">
        <v>450</v>
      </c>
      <c r="C152" s="3">
        <v>252</v>
      </c>
      <c r="D152" s="3">
        <v>5.3</v>
      </c>
      <c r="E152">
        <v>43</v>
      </c>
      <c r="F152" s="2">
        <v>7.5</v>
      </c>
      <c r="G152" t="s">
        <v>388</v>
      </c>
      <c r="H152" s="3">
        <f>C152/(100+D152)*100</f>
        <v>239.31623931623932</v>
      </c>
      <c r="I152" s="7">
        <f>E152*100/(100+F152)</f>
        <v>40</v>
      </c>
      <c r="J152" s="5">
        <f>C152/E152</f>
        <v>5.8604651162790695</v>
      </c>
    </row>
    <row r="153" spans="1:10" x14ac:dyDescent="0.25">
      <c r="A153">
        <v>152</v>
      </c>
      <c r="B153" t="s">
        <v>451</v>
      </c>
      <c r="C153" s="3">
        <v>252</v>
      </c>
      <c r="D153" s="3">
        <v>4.7</v>
      </c>
      <c r="E153">
        <v>95</v>
      </c>
      <c r="F153" s="2">
        <v>3.3</v>
      </c>
      <c r="G153" t="s">
        <v>411</v>
      </c>
      <c r="H153" s="3">
        <f>C153/(100+D153)*100</f>
        <v>240.68767908309457</v>
      </c>
      <c r="I153" s="7">
        <f>E153*100/(100+F153)</f>
        <v>91.96515004840272</v>
      </c>
      <c r="J153" s="5">
        <f>C153/E153</f>
        <v>2.6526315789473682</v>
      </c>
    </row>
    <row r="154" spans="1:10" x14ac:dyDescent="0.25">
      <c r="A154">
        <v>153</v>
      </c>
      <c r="B154" t="s">
        <v>452</v>
      </c>
      <c r="C154" s="3">
        <v>250</v>
      </c>
      <c r="D154" s="3">
        <v>4.9000000000000004</v>
      </c>
      <c r="E154">
        <v>569</v>
      </c>
      <c r="F154" s="2">
        <v>3.8</v>
      </c>
      <c r="G154" t="s">
        <v>394</v>
      </c>
      <c r="H154" s="3">
        <f>C154/(100+D154)*100</f>
        <v>238.32221163012392</v>
      </c>
      <c r="I154" s="7">
        <f>E154*100/(100+F154)</f>
        <v>548.16955684007712</v>
      </c>
      <c r="J154" s="5">
        <f>C154/E154</f>
        <v>0.43936731107205623</v>
      </c>
    </row>
    <row r="155" spans="1:10" x14ac:dyDescent="0.25">
      <c r="A155">
        <v>154</v>
      </c>
      <c r="B155" t="s">
        <v>453</v>
      </c>
      <c r="C155" s="3">
        <v>247</v>
      </c>
      <c r="D155" s="3">
        <v>0.9</v>
      </c>
      <c r="E155">
        <v>342</v>
      </c>
      <c r="F155" s="2">
        <v>-2.6</v>
      </c>
      <c r="G155" t="s">
        <v>418</v>
      </c>
      <c r="H155" s="3">
        <f>C155/(100+D155)*100</f>
        <v>244.79682854311199</v>
      </c>
      <c r="I155" s="7">
        <f>E155*100/(100+F155)</f>
        <v>351.12936344969199</v>
      </c>
      <c r="J155" s="5">
        <f>C155/E155</f>
        <v>0.72222222222222221</v>
      </c>
    </row>
    <row r="156" spans="1:10" x14ac:dyDescent="0.25">
      <c r="A156">
        <v>155</v>
      </c>
      <c r="B156" t="s">
        <v>454</v>
      </c>
      <c r="C156" s="3">
        <v>242</v>
      </c>
      <c r="D156" s="3">
        <v>9.6999999999999993</v>
      </c>
      <c r="E156">
        <v>18</v>
      </c>
      <c r="F156" s="2">
        <v>5.9</v>
      </c>
      <c r="G156" t="s">
        <v>344</v>
      </c>
      <c r="H156" s="3">
        <f>C156/(100+D156)*100</f>
        <v>220.60164083865087</v>
      </c>
      <c r="I156" s="7">
        <f>E156*100/(100+F156)</f>
        <v>16.997167138810198</v>
      </c>
      <c r="J156" s="5">
        <f>C156/E156</f>
        <v>13.444444444444445</v>
      </c>
    </row>
    <row r="157" spans="1:10" x14ac:dyDescent="0.25">
      <c r="A157">
        <v>156</v>
      </c>
      <c r="B157" t="s">
        <v>455</v>
      </c>
      <c r="C157" s="3">
        <v>239</v>
      </c>
      <c r="D157" s="3">
        <v>11.7</v>
      </c>
      <c r="E157">
        <v>36</v>
      </c>
      <c r="F157" s="2">
        <v>2.9</v>
      </c>
      <c r="G157" t="s">
        <v>386</v>
      </c>
      <c r="H157" s="3">
        <f>C157/(100+D157)*100</f>
        <v>213.96598030438673</v>
      </c>
      <c r="I157" s="7">
        <f>E157*100/(100+F157)</f>
        <v>34.985422740524783</v>
      </c>
      <c r="J157" s="5">
        <f>C157/E157</f>
        <v>6.6388888888888893</v>
      </c>
    </row>
    <row r="158" spans="1:10" x14ac:dyDescent="0.25">
      <c r="A158">
        <v>157</v>
      </c>
      <c r="B158" t="s">
        <v>456</v>
      </c>
      <c r="C158" s="3">
        <v>238</v>
      </c>
      <c r="D158" s="3">
        <v>2.8</v>
      </c>
      <c r="E158">
        <v>215</v>
      </c>
      <c r="F158" s="2">
        <v>0</v>
      </c>
      <c r="G158" t="s">
        <v>409</v>
      </c>
      <c r="H158" s="3">
        <f>C158/(100+D158)*100</f>
        <v>231.51750972762648</v>
      </c>
      <c r="I158" s="7">
        <f>E158*100/(100+F158)</f>
        <v>215</v>
      </c>
      <c r="J158" s="5">
        <f>C158/E158</f>
        <v>1.1069767441860465</v>
      </c>
    </row>
    <row r="159" spans="1:10" x14ac:dyDescent="0.25">
      <c r="A159">
        <v>158</v>
      </c>
      <c r="B159" t="s">
        <v>457</v>
      </c>
      <c r="C159" s="3">
        <v>232</v>
      </c>
      <c r="D159" s="3">
        <v>-0.1</v>
      </c>
      <c r="E159">
        <v>197</v>
      </c>
      <c r="F159" s="2">
        <v>-3.4</v>
      </c>
      <c r="G159" t="s">
        <v>386</v>
      </c>
      <c r="H159" s="3">
        <f>C159/(100+D159)*100</f>
        <v>232.23223223223223</v>
      </c>
      <c r="I159" s="7">
        <f>E159*100/(100+F159)</f>
        <v>203.9337474120083</v>
      </c>
      <c r="J159" s="5">
        <f>C159/E159</f>
        <v>1.1776649746192893</v>
      </c>
    </row>
    <row r="160" spans="1:10" x14ac:dyDescent="0.25">
      <c r="A160">
        <v>159</v>
      </c>
      <c r="B160" t="s">
        <v>458</v>
      </c>
      <c r="C160" s="3">
        <v>227</v>
      </c>
      <c r="D160" s="3">
        <v>-1.9</v>
      </c>
      <c r="E160">
        <v>34</v>
      </c>
      <c r="F160" s="2">
        <v>-2.9</v>
      </c>
      <c r="G160" t="s">
        <v>396</v>
      </c>
      <c r="H160" s="3">
        <f>C160/(100+D160)*100</f>
        <v>231.39653414882773</v>
      </c>
      <c r="I160" s="7">
        <f>E160*100/(100+F160)</f>
        <v>35.015447991761071</v>
      </c>
      <c r="J160" s="5">
        <f>C160/E160</f>
        <v>6.6764705882352944</v>
      </c>
    </row>
    <row r="161" spans="1:10" x14ac:dyDescent="0.25">
      <c r="A161">
        <v>160</v>
      </c>
      <c r="B161" t="s">
        <v>459</v>
      </c>
      <c r="C161" s="3">
        <v>227</v>
      </c>
      <c r="D161" s="3">
        <v>1.8</v>
      </c>
      <c r="E161">
        <v>575</v>
      </c>
      <c r="F161" s="2">
        <v>-6.5</v>
      </c>
      <c r="G161" t="s">
        <v>413</v>
      </c>
      <c r="H161" s="3">
        <f>C161/(100+D161)*100</f>
        <v>222.98624754420433</v>
      </c>
      <c r="I161" s="7">
        <f>E161*100/(100+F161)</f>
        <v>614.97326203208559</v>
      </c>
      <c r="J161" s="5">
        <f>C161/E161</f>
        <v>0.39478260869565218</v>
      </c>
    </row>
    <row r="162" spans="1:10" x14ac:dyDescent="0.25">
      <c r="A162">
        <v>161</v>
      </c>
      <c r="B162" t="s">
        <v>460</v>
      </c>
      <c r="C162" s="3">
        <v>227</v>
      </c>
      <c r="D162" s="3">
        <v>0.4</v>
      </c>
      <c r="E162">
        <v>121</v>
      </c>
      <c r="F162" s="2">
        <v>-0.8</v>
      </c>
      <c r="G162" t="s">
        <v>409</v>
      </c>
      <c r="H162" s="3">
        <f>C162/(100+D162)*100</f>
        <v>226.09561752988046</v>
      </c>
      <c r="I162" s="7">
        <f>E162*100/(100+F162)</f>
        <v>121.9758064516129</v>
      </c>
      <c r="J162" s="5">
        <f>C162/E162</f>
        <v>1.8760330578512396</v>
      </c>
    </row>
    <row r="163" spans="1:10" x14ac:dyDescent="0.25">
      <c r="A163">
        <v>162</v>
      </c>
      <c r="B163" t="s">
        <v>461</v>
      </c>
      <c r="C163" s="3">
        <v>225</v>
      </c>
      <c r="D163" s="3">
        <v>8.6</v>
      </c>
      <c r="E163">
        <v>152</v>
      </c>
      <c r="F163" s="2">
        <v>3.4</v>
      </c>
      <c r="G163" t="s">
        <v>386</v>
      </c>
      <c r="H163" s="3">
        <f>C163/(100+D163)*100</f>
        <v>207.18232044198896</v>
      </c>
      <c r="I163" s="7">
        <f>E163*100/(100+F163)</f>
        <v>147.00193423597679</v>
      </c>
      <c r="J163" s="5">
        <f>C163/E163</f>
        <v>1.4802631578947369</v>
      </c>
    </row>
    <row r="164" spans="1:10" x14ac:dyDescent="0.25">
      <c r="A164">
        <v>163</v>
      </c>
      <c r="B164" t="s">
        <v>462</v>
      </c>
      <c r="C164" s="3">
        <v>218</v>
      </c>
      <c r="D164" s="3">
        <v>-4</v>
      </c>
      <c r="E164">
        <v>300</v>
      </c>
      <c r="F164" s="2">
        <v>-2.6</v>
      </c>
      <c r="G164" t="s">
        <v>394</v>
      </c>
      <c r="H164" s="3">
        <f>C164/(100+D164)*100</f>
        <v>227.08333333333334</v>
      </c>
      <c r="I164" s="7">
        <f>E164*100/(100+F164)</f>
        <v>308.00821355236138</v>
      </c>
      <c r="J164" s="5">
        <f>C164/E164</f>
        <v>0.72666666666666668</v>
      </c>
    </row>
    <row r="165" spans="1:10" x14ac:dyDescent="0.25">
      <c r="A165">
        <v>164</v>
      </c>
      <c r="B165" t="s">
        <v>463</v>
      </c>
      <c r="C165" s="3">
        <v>218</v>
      </c>
      <c r="D165" s="3">
        <v>-4.5999999999999996</v>
      </c>
      <c r="E165">
        <v>85</v>
      </c>
      <c r="F165" s="2">
        <v>-3.4</v>
      </c>
      <c r="G165" t="s">
        <v>392</v>
      </c>
      <c r="H165" s="3">
        <f>C165/(100+D165)*100</f>
        <v>228.51153039832286</v>
      </c>
      <c r="I165" s="7">
        <f>E165*100/(100+F165)</f>
        <v>87.991718426501038</v>
      </c>
      <c r="J165" s="5">
        <f>C165/E165</f>
        <v>2.5647058823529414</v>
      </c>
    </row>
    <row r="166" spans="1:10" x14ac:dyDescent="0.25">
      <c r="A166">
        <v>165</v>
      </c>
      <c r="B166" t="s">
        <v>464</v>
      </c>
      <c r="C166" s="3">
        <v>217</v>
      </c>
      <c r="D166" s="3">
        <v>-4</v>
      </c>
      <c r="E166">
        <v>57</v>
      </c>
      <c r="F166" s="2">
        <v>-1.7</v>
      </c>
      <c r="G166" t="s">
        <v>392</v>
      </c>
      <c r="H166" s="3">
        <f>C166/(100+D166)*100</f>
        <v>226.04166666666666</v>
      </c>
      <c r="I166" s="7">
        <f>E166*100/(100+F166)</f>
        <v>57.985757884028487</v>
      </c>
      <c r="J166" s="5">
        <f>C166/E166</f>
        <v>3.807017543859649</v>
      </c>
    </row>
    <row r="167" spans="1:10" x14ac:dyDescent="0.25">
      <c r="A167">
        <v>166</v>
      </c>
      <c r="B167" t="s">
        <v>465</v>
      </c>
      <c r="C167" s="3">
        <v>213</v>
      </c>
      <c r="D167" s="3">
        <v>21.3</v>
      </c>
      <c r="E167">
        <v>36</v>
      </c>
      <c r="F167" s="2">
        <v>20</v>
      </c>
      <c r="G167" t="s">
        <v>388</v>
      </c>
      <c r="H167" s="3">
        <f>C167/(100+D167)*100</f>
        <v>175.5976916735367</v>
      </c>
      <c r="I167" s="7">
        <f>E167*100/(100+F167)</f>
        <v>30</v>
      </c>
      <c r="J167" s="5">
        <f>C167/E167</f>
        <v>5.916666666666667</v>
      </c>
    </row>
    <row r="168" spans="1:10" x14ac:dyDescent="0.25">
      <c r="A168">
        <v>167</v>
      </c>
      <c r="B168" t="s">
        <v>466</v>
      </c>
      <c r="C168" s="3">
        <v>211</v>
      </c>
      <c r="D168" s="3">
        <v>-3.3</v>
      </c>
      <c r="E168">
        <v>97</v>
      </c>
      <c r="F168" s="2">
        <v>0</v>
      </c>
      <c r="G168" t="s">
        <v>448</v>
      </c>
      <c r="H168" s="3">
        <f>C168/(100+D168)*100</f>
        <v>218.200620475698</v>
      </c>
      <c r="I168" s="7">
        <f>E168*100/(100+F168)</f>
        <v>97</v>
      </c>
      <c r="J168" s="5">
        <f>C168/E168</f>
        <v>2.1752577319587627</v>
      </c>
    </row>
    <row r="169" spans="1:10" x14ac:dyDescent="0.25">
      <c r="A169">
        <v>168</v>
      </c>
      <c r="B169" t="s">
        <v>467</v>
      </c>
      <c r="C169" s="3">
        <v>210</v>
      </c>
      <c r="D169" s="3">
        <v>-15.3</v>
      </c>
      <c r="E169">
        <v>160</v>
      </c>
      <c r="F169" s="2">
        <v>-20.399999999999999</v>
      </c>
      <c r="G169" t="s">
        <v>418</v>
      </c>
      <c r="H169" s="3">
        <f>C169/(100+D169)*100</f>
        <v>247.93388429752065</v>
      </c>
      <c r="I169" s="7">
        <f>E169*100/(100+F169)</f>
        <v>201.00502512562815</v>
      </c>
      <c r="J169" s="5">
        <f>C169/E169</f>
        <v>1.3125</v>
      </c>
    </row>
    <row r="170" spans="1:10" x14ac:dyDescent="0.25">
      <c r="A170">
        <v>169</v>
      </c>
      <c r="B170" t="s">
        <v>468</v>
      </c>
      <c r="C170" s="3">
        <v>205</v>
      </c>
      <c r="D170" s="3">
        <v>12.4</v>
      </c>
      <c r="E170">
        <v>16</v>
      </c>
      <c r="F170" s="2">
        <v>0</v>
      </c>
      <c r="G170" t="s">
        <v>344</v>
      </c>
      <c r="H170" s="3">
        <f>C170/(100+D170)*100</f>
        <v>182.38434163701066</v>
      </c>
      <c r="I170" s="7">
        <f>E170*100/(100+F170)</f>
        <v>16</v>
      </c>
      <c r="J170" s="5">
        <f>C170/E170</f>
        <v>12.8125</v>
      </c>
    </row>
    <row r="171" spans="1:10" x14ac:dyDescent="0.25">
      <c r="A171">
        <v>170</v>
      </c>
      <c r="B171" t="s">
        <v>469</v>
      </c>
      <c r="C171" s="3">
        <v>201</v>
      </c>
      <c r="D171" s="3">
        <v>0.8</v>
      </c>
      <c r="E171">
        <v>306</v>
      </c>
      <c r="F171" s="2">
        <v>-1.3</v>
      </c>
      <c r="G171" t="s">
        <v>409</v>
      </c>
      <c r="H171" s="3">
        <f>C171/(100+D171)*100</f>
        <v>199.4047619047619</v>
      </c>
      <c r="I171" s="7">
        <f>E171*100/(100+F171)</f>
        <v>310.03039513677811</v>
      </c>
      <c r="J171" s="5">
        <f>C171/E171</f>
        <v>0.65686274509803921</v>
      </c>
    </row>
    <row r="172" spans="1:10" x14ac:dyDescent="0.25">
      <c r="A172">
        <v>171</v>
      </c>
      <c r="B172" t="s">
        <v>470</v>
      </c>
      <c r="C172" s="3">
        <v>201</v>
      </c>
      <c r="D172" s="3">
        <v>5.6</v>
      </c>
      <c r="E172">
        <v>956</v>
      </c>
      <c r="F172" s="2">
        <v>3.5</v>
      </c>
      <c r="G172" t="s">
        <v>471</v>
      </c>
      <c r="H172" s="3">
        <f>C172/(100+D172)*100</f>
        <v>190.34090909090909</v>
      </c>
      <c r="I172" s="7">
        <f>E172*100/(100+F172)</f>
        <v>923.67149758454104</v>
      </c>
      <c r="J172" s="5">
        <f>C172/E172</f>
        <v>0.21025104602510461</v>
      </c>
    </row>
    <row r="173" spans="1:10" x14ac:dyDescent="0.25">
      <c r="A173">
        <v>172</v>
      </c>
      <c r="B173" t="s">
        <v>472</v>
      </c>
      <c r="C173" s="3">
        <v>196</v>
      </c>
      <c r="D173" s="3">
        <v>-12.9</v>
      </c>
      <c r="E173">
        <v>85</v>
      </c>
      <c r="F173" s="2">
        <v>-14.1</v>
      </c>
      <c r="G173" t="s">
        <v>392</v>
      </c>
      <c r="H173" s="3">
        <f>C173/(100+D173)*100</f>
        <v>225.02870264064296</v>
      </c>
      <c r="I173" s="7">
        <f>E173*100/(100+F173)</f>
        <v>98.952270081490099</v>
      </c>
      <c r="J173" s="5">
        <f>C173/E173</f>
        <v>2.3058823529411763</v>
      </c>
    </row>
    <row r="174" spans="1:10" x14ac:dyDescent="0.25">
      <c r="A174">
        <v>173</v>
      </c>
      <c r="B174" t="s">
        <v>473</v>
      </c>
      <c r="C174" s="3">
        <v>195</v>
      </c>
      <c r="D174" s="3">
        <v>2.8</v>
      </c>
      <c r="E174">
        <v>34</v>
      </c>
      <c r="F174" s="2">
        <v>3</v>
      </c>
      <c r="G174" t="s">
        <v>388</v>
      </c>
      <c r="H174" s="3">
        <f>C174/(100+D174)*100</f>
        <v>189.68871595330739</v>
      </c>
      <c r="I174" s="7">
        <f>E174*100/(100+F174)</f>
        <v>33.009708737864081</v>
      </c>
      <c r="J174" s="5">
        <f>C174/E174</f>
        <v>5.7352941176470589</v>
      </c>
    </row>
    <row r="175" spans="1:10" x14ac:dyDescent="0.25">
      <c r="A175">
        <v>174</v>
      </c>
      <c r="B175" t="s">
        <v>474</v>
      </c>
      <c r="C175" s="3">
        <v>195</v>
      </c>
      <c r="D175" s="3">
        <v>-7.5</v>
      </c>
      <c r="E175">
        <v>79</v>
      </c>
      <c r="F175" s="2">
        <v>-6</v>
      </c>
      <c r="G175" t="s">
        <v>448</v>
      </c>
      <c r="H175" s="3">
        <f>C175/(100+D175)*100</f>
        <v>210.81081081081078</v>
      </c>
      <c r="I175" s="7">
        <f>E175*100/(100+F175)</f>
        <v>84.042553191489361</v>
      </c>
      <c r="J175" s="5">
        <f>C175/E175</f>
        <v>2.4683544303797467</v>
      </c>
    </row>
    <row r="176" spans="1:10" x14ac:dyDescent="0.25">
      <c r="A176">
        <v>175</v>
      </c>
      <c r="B176" t="s">
        <v>475</v>
      </c>
      <c r="C176" s="3">
        <v>193</v>
      </c>
      <c r="D176" s="3">
        <v>-4.2</v>
      </c>
      <c r="E176">
        <v>372</v>
      </c>
      <c r="F176" s="2">
        <v>-3.9</v>
      </c>
      <c r="G176" t="s">
        <v>409</v>
      </c>
      <c r="H176" s="3">
        <f>C176/(100+D176)*100</f>
        <v>201.46137787056367</v>
      </c>
      <c r="I176" s="7">
        <f>E176*100/(100+F176)</f>
        <v>387.09677419354841</v>
      </c>
      <c r="J176" s="5">
        <f>C176/E176</f>
        <v>0.51881720430107525</v>
      </c>
    </row>
    <row r="177" spans="1:10" x14ac:dyDescent="0.25">
      <c r="A177">
        <v>176</v>
      </c>
      <c r="B177" t="s">
        <v>476</v>
      </c>
      <c r="C177" s="3">
        <v>192</v>
      </c>
      <c r="D177" s="3">
        <v>7.4</v>
      </c>
      <c r="E177">
        <v>51</v>
      </c>
      <c r="F177" s="2">
        <v>6.3</v>
      </c>
      <c r="G177" t="s">
        <v>388</v>
      </c>
      <c r="H177" s="3">
        <f>C177/(100+D177)*100</f>
        <v>178.77094972067039</v>
      </c>
      <c r="I177" s="7">
        <f>E177*100/(100+F177)</f>
        <v>47.977422389463783</v>
      </c>
      <c r="J177" s="5">
        <f>C177/E177</f>
        <v>3.7647058823529411</v>
      </c>
    </row>
    <row r="178" spans="1:10" x14ac:dyDescent="0.25">
      <c r="A178">
        <v>177</v>
      </c>
      <c r="B178" t="s">
        <v>477</v>
      </c>
      <c r="C178" s="3">
        <v>192</v>
      </c>
      <c r="D178" s="3">
        <v>1.2</v>
      </c>
      <c r="E178">
        <v>94</v>
      </c>
      <c r="F178" s="2">
        <v>0</v>
      </c>
      <c r="G178" t="s">
        <v>411</v>
      </c>
      <c r="H178" s="3">
        <f>C178/(100+D178)*100</f>
        <v>189.72332015810275</v>
      </c>
      <c r="I178" s="7">
        <f>E178*100/(100+F178)</f>
        <v>94</v>
      </c>
      <c r="J178" s="5">
        <f>C178/E178</f>
        <v>2.0425531914893615</v>
      </c>
    </row>
    <row r="179" spans="1:10" x14ac:dyDescent="0.25">
      <c r="A179">
        <v>178</v>
      </c>
      <c r="B179" t="s">
        <v>478</v>
      </c>
      <c r="C179" s="3">
        <v>191</v>
      </c>
      <c r="D179" s="3">
        <v>-8.3000000000000007</v>
      </c>
      <c r="E179">
        <v>94</v>
      </c>
      <c r="F179" s="2">
        <v>-6.9</v>
      </c>
      <c r="G179" t="s">
        <v>407</v>
      </c>
      <c r="H179" s="3">
        <f>C179/(100+D179)*100</f>
        <v>208.28789531079605</v>
      </c>
      <c r="I179" s="7">
        <f>E179*100/(100+F179)</f>
        <v>100.96670247046187</v>
      </c>
      <c r="J179" s="5">
        <f>C179/E179</f>
        <v>2.0319148936170213</v>
      </c>
    </row>
    <row r="180" spans="1:10" x14ac:dyDescent="0.25">
      <c r="A180">
        <v>179</v>
      </c>
      <c r="B180" t="s">
        <v>479</v>
      </c>
      <c r="C180" s="3">
        <v>190</v>
      </c>
      <c r="D180" s="3">
        <v>13.8</v>
      </c>
      <c r="E180">
        <v>32</v>
      </c>
      <c r="F180" s="2">
        <v>28</v>
      </c>
      <c r="G180" t="s">
        <v>388</v>
      </c>
      <c r="H180" s="3">
        <f>C180/(100+D180)*100</f>
        <v>166.95957820738136</v>
      </c>
      <c r="I180" s="7">
        <f>E180*100/(100+F180)</f>
        <v>25</v>
      </c>
      <c r="J180" s="5">
        <f>C180/E180</f>
        <v>5.9375</v>
      </c>
    </row>
    <row r="181" spans="1:10" x14ac:dyDescent="0.25">
      <c r="A181">
        <v>180</v>
      </c>
      <c r="B181" t="s">
        <v>480</v>
      </c>
      <c r="C181" s="3">
        <v>189</v>
      </c>
      <c r="D181" s="3">
        <v>-5.7</v>
      </c>
      <c r="E181">
        <v>76</v>
      </c>
      <c r="F181" s="2">
        <v>-1.3</v>
      </c>
      <c r="G181" t="s">
        <v>392</v>
      </c>
      <c r="H181" s="3">
        <f>C181/(100+D181)*100</f>
        <v>200.42417815482506</v>
      </c>
      <c r="I181" s="7">
        <f>E181*100/(100+F181)</f>
        <v>77.001013171225935</v>
      </c>
      <c r="J181" s="5">
        <f>C181/E181</f>
        <v>2.486842105263158</v>
      </c>
    </row>
    <row r="182" spans="1:10" x14ac:dyDescent="0.25">
      <c r="A182">
        <v>181</v>
      </c>
      <c r="B182" t="s">
        <v>481</v>
      </c>
      <c r="C182" s="3">
        <v>187</v>
      </c>
      <c r="D182" s="3">
        <v>-5.2</v>
      </c>
      <c r="E182">
        <v>40</v>
      </c>
      <c r="F182" s="2">
        <v>-4.8</v>
      </c>
      <c r="G182" t="s">
        <v>388</v>
      </c>
      <c r="H182" s="3">
        <f>C182/(100+D182)*100</f>
        <v>197.25738396624473</v>
      </c>
      <c r="I182" s="7">
        <f>E182*100/(100+F182)</f>
        <v>42.016806722689076</v>
      </c>
      <c r="J182" s="5">
        <f>C182/E182</f>
        <v>4.6749999999999998</v>
      </c>
    </row>
    <row r="183" spans="1:10" x14ac:dyDescent="0.25">
      <c r="A183">
        <v>182</v>
      </c>
      <c r="B183" t="s">
        <v>482</v>
      </c>
      <c r="C183" s="3">
        <v>186</v>
      </c>
      <c r="D183" s="3">
        <v>-10.199999999999999</v>
      </c>
      <c r="E183">
        <v>155</v>
      </c>
      <c r="F183" s="2">
        <v>-11.4</v>
      </c>
      <c r="G183" t="s">
        <v>388</v>
      </c>
      <c r="H183" s="3">
        <f>C183/(100+D183)*100</f>
        <v>207.12694877505569</v>
      </c>
      <c r="I183" s="7">
        <f>E183*100/(100+F183)</f>
        <v>174.94356659142213</v>
      </c>
      <c r="J183" s="5">
        <f>C183/E183</f>
        <v>1.2</v>
      </c>
    </row>
    <row r="184" spans="1:10" x14ac:dyDescent="0.25">
      <c r="A184">
        <v>183</v>
      </c>
      <c r="B184" t="s">
        <v>483</v>
      </c>
      <c r="C184" s="3">
        <v>185</v>
      </c>
      <c r="D184" s="3">
        <v>-15.8</v>
      </c>
      <c r="E184">
        <v>138</v>
      </c>
      <c r="F184" s="2">
        <v>-11.5</v>
      </c>
      <c r="G184" t="s">
        <v>413</v>
      </c>
      <c r="H184" s="3">
        <f>C184/(100+D184)*100</f>
        <v>219.71496437054631</v>
      </c>
      <c r="I184" s="7">
        <f>E184*100/(100+F184)</f>
        <v>155.93220338983051</v>
      </c>
      <c r="J184" s="5">
        <f>C184/E184</f>
        <v>1.3405797101449275</v>
      </c>
    </row>
    <row r="185" spans="1:10" x14ac:dyDescent="0.25">
      <c r="A185">
        <v>184</v>
      </c>
      <c r="B185" t="s">
        <v>484</v>
      </c>
      <c r="C185" s="3">
        <v>185</v>
      </c>
      <c r="D185" s="3">
        <v>3.1</v>
      </c>
      <c r="E185">
        <v>141</v>
      </c>
      <c r="F185" s="2">
        <v>0</v>
      </c>
      <c r="G185" t="s">
        <v>418</v>
      </c>
      <c r="H185" s="3">
        <f>C185/(100+D185)*100</f>
        <v>179.43743937924347</v>
      </c>
      <c r="I185" s="7">
        <f>E185*100/(100+F185)</f>
        <v>141</v>
      </c>
      <c r="J185" s="5">
        <f>C185/E185</f>
        <v>1.3120567375886525</v>
      </c>
    </row>
    <row r="186" spans="1:10" x14ac:dyDescent="0.25">
      <c r="A186">
        <v>185</v>
      </c>
      <c r="B186" t="s">
        <v>485</v>
      </c>
      <c r="C186" s="3">
        <v>184</v>
      </c>
      <c r="D186" s="3">
        <v>16.8</v>
      </c>
      <c r="E186">
        <v>102</v>
      </c>
      <c r="F186" s="2">
        <v>10.9</v>
      </c>
      <c r="G186" t="s">
        <v>486</v>
      </c>
      <c r="H186" s="3">
        <f>C186/(100+D186)*100</f>
        <v>157.53424657534248</v>
      </c>
      <c r="I186" s="7">
        <f>E186*100/(100+F186)</f>
        <v>91.974752028854823</v>
      </c>
      <c r="J186" s="5">
        <f>C186/E186</f>
        <v>1.803921568627451</v>
      </c>
    </row>
    <row r="187" spans="1:10" x14ac:dyDescent="0.25">
      <c r="A187">
        <v>186</v>
      </c>
      <c r="B187" t="s">
        <v>487</v>
      </c>
      <c r="C187" s="3">
        <v>183</v>
      </c>
      <c r="D187" s="3">
        <v>6.7</v>
      </c>
      <c r="E187">
        <v>184</v>
      </c>
      <c r="F187" s="2">
        <v>0.5</v>
      </c>
      <c r="G187" t="s">
        <v>390</v>
      </c>
      <c r="H187" s="3">
        <f>C187/(100+D187)*100</f>
        <v>171.50890346766633</v>
      </c>
      <c r="I187" s="7">
        <f>E187*100/(100+F187)</f>
        <v>183.08457711442787</v>
      </c>
      <c r="J187" s="5">
        <f>C187/E187</f>
        <v>0.99456521739130432</v>
      </c>
    </row>
    <row r="188" spans="1:10" x14ac:dyDescent="0.25">
      <c r="A188">
        <v>187</v>
      </c>
      <c r="B188" t="s">
        <v>488</v>
      </c>
      <c r="C188" s="3">
        <v>181</v>
      </c>
      <c r="D188" s="3">
        <v>10.9</v>
      </c>
      <c r="E188">
        <v>215</v>
      </c>
      <c r="F188" s="2">
        <v>5.4</v>
      </c>
      <c r="G188" t="s">
        <v>394</v>
      </c>
      <c r="H188" s="3">
        <f>C188/(100+D188)*100</f>
        <v>163.21009918845806</v>
      </c>
      <c r="I188" s="7">
        <f>E188*100/(100+F188)</f>
        <v>203.98481973434534</v>
      </c>
      <c r="J188" s="5">
        <f>C188/E188</f>
        <v>0.8418604651162791</v>
      </c>
    </row>
    <row r="189" spans="1:10" x14ac:dyDescent="0.25">
      <c r="A189">
        <v>188</v>
      </c>
      <c r="B189" t="s">
        <v>489</v>
      </c>
      <c r="C189" s="3">
        <v>181</v>
      </c>
      <c r="D189" s="3">
        <v>-2.9</v>
      </c>
      <c r="E189">
        <v>27</v>
      </c>
      <c r="F189" s="2">
        <v>0</v>
      </c>
      <c r="G189" t="s">
        <v>396</v>
      </c>
      <c r="H189" s="3">
        <f>C189/(100+D189)*100</f>
        <v>186.40576725025747</v>
      </c>
      <c r="I189" s="7">
        <f>E189*100/(100+F189)</f>
        <v>27</v>
      </c>
      <c r="J189" s="5">
        <f>C189/E189</f>
        <v>6.7037037037037033</v>
      </c>
    </row>
    <row r="190" spans="1:10" x14ac:dyDescent="0.25">
      <c r="A190">
        <v>189</v>
      </c>
      <c r="B190" t="s">
        <v>490</v>
      </c>
      <c r="C190" s="3">
        <v>181</v>
      </c>
      <c r="D190" s="3">
        <v>-6.5</v>
      </c>
      <c r="E190">
        <v>105</v>
      </c>
      <c r="F190" s="2">
        <v>-7.9</v>
      </c>
      <c r="G190" t="s">
        <v>388</v>
      </c>
      <c r="H190" s="3">
        <f>C190/(100+D190)*100</f>
        <v>193.58288770053477</v>
      </c>
      <c r="I190" s="7">
        <f>E190*100/(100+F190)</f>
        <v>114.00651465798046</v>
      </c>
      <c r="J190" s="5">
        <f>C190/E190</f>
        <v>1.7238095238095239</v>
      </c>
    </row>
    <row r="191" spans="1:10" x14ac:dyDescent="0.25">
      <c r="A191">
        <v>190</v>
      </c>
      <c r="B191" t="s">
        <v>491</v>
      </c>
      <c r="C191" s="3">
        <v>179</v>
      </c>
      <c r="D191" s="3">
        <v>1.7</v>
      </c>
      <c r="E191">
        <v>93</v>
      </c>
      <c r="F191" s="2">
        <v>1.1000000000000001</v>
      </c>
      <c r="G191" t="s">
        <v>413</v>
      </c>
      <c r="H191" s="3">
        <f>C191/(100+D191)*100</f>
        <v>176.00786627335299</v>
      </c>
      <c r="I191" s="7">
        <f>E191*100/(100+F191)</f>
        <v>91.988130563798222</v>
      </c>
      <c r="J191" s="5">
        <f>C191/E191</f>
        <v>1.924731182795699</v>
      </c>
    </row>
    <row r="192" spans="1:10" x14ac:dyDescent="0.25">
      <c r="A192">
        <v>191</v>
      </c>
      <c r="B192" t="s">
        <v>492</v>
      </c>
      <c r="C192" s="3">
        <v>179</v>
      </c>
      <c r="D192" s="3">
        <v>3.8</v>
      </c>
      <c r="E192">
        <v>165</v>
      </c>
      <c r="F192" s="2">
        <v>3.1</v>
      </c>
      <c r="G192" t="s">
        <v>394</v>
      </c>
      <c r="H192" s="3">
        <f>C192/(100+D192)*100</f>
        <v>172.44701348747594</v>
      </c>
      <c r="I192" s="7">
        <f>E192*100/(100+F192)</f>
        <v>160.03879728419011</v>
      </c>
      <c r="J192" s="5">
        <f>C192/E192</f>
        <v>1.084848484848485</v>
      </c>
    </row>
    <row r="193" spans="1:10" x14ac:dyDescent="0.25">
      <c r="A193">
        <v>192</v>
      </c>
      <c r="B193" t="s">
        <v>493</v>
      </c>
      <c r="C193" s="3">
        <v>179</v>
      </c>
      <c r="D193" s="3">
        <v>-4.4000000000000004</v>
      </c>
      <c r="E193">
        <v>126</v>
      </c>
      <c r="F193" s="2">
        <v>-0.8</v>
      </c>
      <c r="G193" t="s">
        <v>418</v>
      </c>
      <c r="H193" s="3">
        <f>C193/(100+D193)*100</f>
        <v>187.23849372384939</v>
      </c>
      <c r="I193" s="7">
        <f>E193*100/(100+F193)</f>
        <v>127.01612903225806</v>
      </c>
      <c r="J193" s="5">
        <f>C193/E193</f>
        <v>1.4206349206349207</v>
      </c>
    </row>
    <row r="194" spans="1:10" x14ac:dyDescent="0.25">
      <c r="A194">
        <v>193</v>
      </c>
      <c r="B194" t="s">
        <v>494</v>
      </c>
      <c r="C194" s="3">
        <v>178</v>
      </c>
      <c r="D194" s="3">
        <v>-12.4</v>
      </c>
      <c r="E194">
        <v>145</v>
      </c>
      <c r="F194" s="2">
        <v>-12.1</v>
      </c>
      <c r="G194" t="s">
        <v>386</v>
      </c>
      <c r="H194" s="3">
        <f>C194/(100+D194)*100</f>
        <v>203.19634703196351</v>
      </c>
      <c r="I194" s="7">
        <f>E194*100/(100+F194)</f>
        <v>164.96018202502844</v>
      </c>
      <c r="J194" s="5">
        <f>C194/E194</f>
        <v>1.2275862068965517</v>
      </c>
    </row>
    <row r="195" spans="1:10" x14ac:dyDescent="0.25">
      <c r="A195">
        <v>194</v>
      </c>
      <c r="B195" t="s">
        <v>495</v>
      </c>
      <c r="C195" s="3">
        <v>177</v>
      </c>
      <c r="D195" s="3">
        <v>-10.199999999999999</v>
      </c>
      <c r="E195">
        <v>35</v>
      </c>
      <c r="F195" s="2">
        <v>-5.4</v>
      </c>
      <c r="G195" t="s">
        <v>388</v>
      </c>
      <c r="H195" s="3">
        <f>C195/(100+D195)*100</f>
        <v>197.10467706013364</v>
      </c>
      <c r="I195" s="7">
        <f>E195*100/(100+F195)</f>
        <v>36.99788583509514</v>
      </c>
      <c r="J195" s="5">
        <f>C195/E195</f>
        <v>5.0571428571428569</v>
      </c>
    </row>
    <row r="196" spans="1:10" x14ac:dyDescent="0.25">
      <c r="A196">
        <v>195</v>
      </c>
      <c r="B196" t="s">
        <v>496</v>
      </c>
      <c r="C196" s="3">
        <v>177</v>
      </c>
      <c r="D196" s="3">
        <v>3.9</v>
      </c>
      <c r="E196">
        <v>353</v>
      </c>
      <c r="F196" s="2">
        <v>5.4</v>
      </c>
      <c r="G196" t="s">
        <v>471</v>
      </c>
      <c r="H196" s="3">
        <f>C196/(100+D196)*100</f>
        <v>170.35611164581329</v>
      </c>
      <c r="I196" s="7">
        <f>E196*100/(100+F196)</f>
        <v>334.91461100569256</v>
      </c>
      <c r="J196" s="5">
        <f>C196/E196</f>
        <v>0.50141643059490082</v>
      </c>
    </row>
    <row r="197" spans="1:10" x14ac:dyDescent="0.25">
      <c r="A197">
        <v>196</v>
      </c>
      <c r="B197" t="s">
        <v>497</v>
      </c>
      <c r="C197" s="3">
        <v>174</v>
      </c>
      <c r="D197" s="3">
        <v>2.4</v>
      </c>
      <c r="E197">
        <v>87</v>
      </c>
      <c r="F197" s="2">
        <v>0</v>
      </c>
      <c r="G197" t="s">
        <v>411</v>
      </c>
      <c r="H197" s="3">
        <f>C197/(100+D197)*100</f>
        <v>169.921875</v>
      </c>
      <c r="I197" s="7">
        <f>E197*100/(100+F197)</f>
        <v>87</v>
      </c>
      <c r="J197" s="5">
        <f>C197/E197</f>
        <v>2</v>
      </c>
    </row>
    <row r="198" spans="1:10" x14ac:dyDescent="0.25">
      <c r="A198">
        <v>197</v>
      </c>
      <c r="B198" t="s">
        <v>498</v>
      </c>
      <c r="C198" s="3">
        <v>173</v>
      </c>
      <c r="D198" s="3">
        <v>5.5</v>
      </c>
      <c r="E198">
        <v>70</v>
      </c>
      <c r="F198" s="2">
        <v>1.4</v>
      </c>
      <c r="G198" t="s">
        <v>392</v>
      </c>
      <c r="H198" s="3">
        <f>C198/(100+D198)*100</f>
        <v>163.98104265402844</v>
      </c>
      <c r="I198" s="7">
        <f>E198*100/(100+F198)</f>
        <v>69.033530571992102</v>
      </c>
      <c r="J198" s="5">
        <f>C198/E198</f>
        <v>2.4714285714285715</v>
      </c>
    </row>
    <row r="199" spans="1:10" x14ac:dyDescent="0.25">
      <c r="A199">
        <v>198</v>
      </c>
      <c r="B199" t="s">
        <v>499</v>
      </c>
      <c r="C199" s="3">
        <v>173</v>
      </c>
      <c r="D199" s="3">
        <v>0.9</v>
      </c>
      <c r="E199">
        <v>56</v>
      </c>
      <c r="F199" s="2">
        <v>0</v>
      </c>
      <c r="G199" t="s">
        <v>388</v>
      </c>
      <c r="H199" s="3">
        <f>C199/(100+D199)*100</f>
        <v>171.45688800792865</v>
      </c>
      <c r="I199" s="7">
        <f>E199*100/(100+F199)</f>
        <v>56</v>
      </c>
      <c r="J199" s="5">
        <f>C199/E199</f>
        <v>3.0892857142857144</v>
      </c>
    </row>
    <row r="200" spans="1:10" x14ac:dyDescent="0.25">
      <c r="A200">
        <v>199</v>
      </c>
      <c r="B200" t="s">
        <v>500</v>
      </c>
      <c r="C200" s="3">
        <v>172</v>
      </c>
      <c r="D200" s="3">
        <v>-4.8</v>
      </c>
      <c r="E200">
        <v>77</v>
      </c>
      <c r="F200" s="2">
        <v>-2.5</v>
      </c>
      <c r="G200" t="s">
        <v>388</v>
      </c>
      <c r="H200" s="3">
        <f>C200/(100+D200)*100</f>
        <v>180.67226890756302</v>
      </c>
      <c r="I200" s="7">
        <f>E200*100/(100+F200)</f>
        <v>78.974358974358978</v>
      </c>
      <c r="J200" s="5">
        <f>C200/E200</f>
        <v>2.2337662337662336</v>
      </c>
    </row>
    <row r="201" spans="1:10" x14ac:dyDescent="0.25">
      <c r="A201">
        <v>200</v>
      </c>
      <c r="B201" t="s">
        <v>501</v>
      </c>
      <c r="C201" s="3">
        <v>171</v>
      </c>
      <c r="D201" s="3">
        <v>-5</v>
      </c>
      <c r="E201">
        <v>153</v>
      </c>
      <c r="F201" s="2">
        <v>-2.5</v>
      </c>
      <c r="G201" t="s">
        <v>357</v>
      </c>
      <c r="H201" s="3">
        <f>C201/(100+D201)*100</f>
        <v>180</v>
      </c>
      <c r="I201" s="7">
        <f>E201*100/(100+F201)</f>
        <v>156.92307692307693</v>
      </c>
      <c r="J201" s="5">
        <f>C201/E201</f>
        <v>1.1176470588235294</v>
      </c>
    </row>
    <row r="202" spans="1:10" x14ac:dyDescent="0.25">
      <c r="A202">
        <v>201</v>
      </c>
      <c r="B202" t="s">
        <v>502</v>
      </c>
      <c r="C202" s="3">
        <v>171</v>
      </c>
      <c r="D202" s="3">
        <v>36.299999999999997</v>
      </c>
      <c r="E202">
        <v>69</v>
      </c>
      <c r="F202" s="2">
        <v>3</v>
      </c>
      <c r="G202" t="s">
        <v>418</v>
      </c>
      <c r="H202" s="3">
        <f>C202/(100+D202)*100</f>
        <v>125.45854732208363</v>
      </c>
      <c r="I202" s="7">
        <f>E202*100/(100+F202)</f>
        <v>66.990291262135926</v>
      </c>
      <c r="J202" s="5">
        <f>C202/E202</f>
        <v>2.4782608695652173</v>
      </c>
    </row>
    <row r="203" spans="1:10" x14ac:dyDescent="0.25">
      <c r="A203">
        <v>202</v>
      </c>
      <c r="B203" t="s">
        <v>503</v>
      </c>
      <c r="C203" s="3">
        <v>170</v>
      </c>
      <c r="D203" s="3">
        <v>3.6</v>
      </c>
      <c r="E203">
        <v>75</v>
      </c>
      <c r="F203" s="2">
        <v>1.4</v>
      </c>
      <c r="G203" t="s">
        <v>407</v>
      </c>
      <c r="H203" s="3">
        <f>C203/(100+D203)*100</f>
        <v>164.09266409266411</v>
      </c>
      <c r="I203" s="7">
        <f>E203*100/(100+F203)</f>
        <v>73.964497041420117</v>
      </c>
      <c r="J203" s="5">
        <f>C203/E203</f>
        <v>2.2666666666666666</v>
      </c>
    </row>
    <row r="204" spans="1:10" x14ac:dyDescent="0.25">
      <c r="A204">
        <v>203</v>
      </c>
      <c r="B204" t="s">
        <v>504</v>
      </c>
      <c r="C204" s="3">
        <v>168</v>
      </c>
      <c r="D204" s="3">
        <v>1.6</v>
      </c>
      <c r="E204">
        <v>42</v>
      </c>
      <c r="F204" s="2">
        <v>-4.5</v>
      </c>
      <c r="G204" t="s">
        <v>344</v>
      </c>
      <c r="H204" s="3">
        <f>C204/(100+D204)*100</f>
        <v>165.35433070866142</v>
      </c>
      <c r="I204" s="7">
        <f>E204*100/(100+F204)</f>
        <v>43.97905759162304</v>
      </c>
      <c r="J204" s="5">
        <f>C204/E204</f>
        <v>4</v>
      </c>
    </row>
    <row r="205" spans="1:10" x14ac:dyDescent="0.25">
      <c r="A205">
        <v>204</v>
      </c>
      <c r="B205" t="s">
        <v>505</v>
      </c>
      <c r="C205" s="3">
        <v>168</v>
      </c>
      <c r="D205" s="3">
        <v>-1.3</v>
      </c>
      <c r="E205">
        <v>61</v>
      </c>
      <c r="F205" s="2">
        <v>-3.2</v>
      </c>
      <c r="G205" t="s">
        <v>407</v>
      </c>
      <c r="H205" s="3">
        <f>C205/(100+D205)*100</f>
        <v>170.21276595744681</v>
      </c>
      <c r="I205" s="7">
        <f>E205*100/(100+F205)</f>
        <v>63.016528925619838</v>
      </c>
      <c r="J205" s="5">
        <f>C205/E205</f>
        <v>2.7540983606557377</v>
      </c>
    </row>
    <row r="206" spans="1:10" x14ac:dyDescent="0.25">
      <c r="A206">
        <v>205</v>
      </c>
      <c r="B206" t="s">
        <v>506</v>
      </c>
      <c r="C206" s="3">
        <v>166</v>
      </c>
      <c r="D206" s="3">
        <v>-7.4</v>
      </c>
      <c r="E206">
        <v>53</v>
      </c>
      <c r="F206" s="2">
        <v>-7</v>
      </c>
      <c r="G206" t="s">
        <v>396</v>
      </c>
      <c r="H206" s="3">
        <f>C206/(100+D206)*100</f>
        <v>179.26565874730022</v>
      </c>
      <c r="I206" s="7">
        <f>E206*100/(100+F206)</f>
        <v>56.98924731182796</v>
      </c>
      <c r="J206" s="5">
        <f>C206/E206</f>
        <v>3.1320754716981134</v>
      </c>
    </row>
    <row r="207" spans="1:10" x14ac:dyDescent="0.25">
      <c r="A207">
        <v>206</v>
      </c>
      <c r="B207" t="s">
        <v>507</v>
      </c>
      <c r="C207" s="3">
        <v>164</v>
      </c>
      <c r="D207" s="3">
        <v>3.7</v>
      </c>
      <c r="E207">
        <v>66</v>
      </c>
      <c r="F207" s="2">
        <v>3.1</v>
      </c>
      <c r="G207" t="s">
        <v>392</v>
      </c>
      <c r="H207" s="3">
        <f>C207/(100+D207)*100</f>
        <v>158.14850530376083</v>
      </c>
      <c r="I207" s="7">
        <f>E207*100/(100+F207)</f>
        <v>64.015518913676047</v>
      </c>
      <c r="J207" s="5">
        <f>C207/E207</f>
        <v>2.4848484848484849</v>
      </c>
    </row>
    <row r="208" spans="1:10" x14ac:dyDescent="0.25">
      <c r="A208">
        <v>207</v>
      </c>
      <c r="B208" t="s">
        <v>508</v>
      </c>
      <c r="C208" s="3">
        <v>163</v>
      </c>
      <c r="D208" s="3">
        <v>6.7</v>
      </c>
      <c r="E208">
        <v>42</v>
      </c>
      <c r="F208" s="2">
        <v>2.4</v>
      </c>
      <c r="G208" t="s">
        <v>388</v>
      </c>
      <c r="H208" s="3">
        <f>C208/(100+D208)*100</f>
        <v>152.76476101218367</v>
      </c>
      <c r="I208" s="7">
        <f>E208*100/(100+F208)</f>
        <v>41.015625</v>
      </c>
      <c r="J208" s="5">
        <f>C208/E208</f>
        <v>3.8809523809523809</v>
      </c>
    </row>
    <row r="209" spans="1:10" x14ac:dyDescent="0.25">
      <c r="A209">
        <v>208</v>
      </c>
      <c r="B209" t="s">
        <v>509</v>
      </c>
      <c r="C209" s="3">
        <v>162</v>
      </c>
      <c r="D209" s="3">
        <v>-1.9</v>
      </c>
      <c r="E209">
        <v>182</v>
      </c>
      <c r="F209" s="2">
        <v>-0.5</v>
      </c>
      <c r="G209" t="s">
        <v>411</v>
      </c>
      <c r="H209" s="3">
        <f>C209/(100+D209)*100</f>
        <v>165.1376146788991</v>
      </c>
      <c r="I209" s="7">
        <f>E209*100/(100+F209)</f>
        <v>182.9145728643216</v>
      </c>
      <c r="J209" s="5">
        <f>C209/E209</f>
        <v>0.89010989010989006</v>
      </c>
    </row>
    <row r="210" spans="1:10" x14ac:dyDescent="0.25">
      <c r="A210">
        <v>209</v>
      </c>
      <c r="B210" t="s">
        <v>510</v>
      </c>
      <c r="C210" s="3">
        <v>161</v>
      </c>
      <c r="D210" s="3">
        <v>-2.4</v>
      </c>
      <c r="E210">
        <v>92</v>
      </c>
      <c r="F210" s="2">
        <v>0</v>
      </c>
      <c r="G210" t="s">
        <v>418</v>
      </c>
      <c r="H210" s="3">
        <f>C210/(100+D210)*100</f>
        <v>164.95901639344262</v>
      </c>
      <c r="I210" s="7">
        <f>E210*100/(100+F210)</f>
        <v>92</v>
      </c>
      <c r="J210" s="5">
        <f>C210/E210</f>
        <v>1.75</v>
      </c>
    </row>
    <row r="211" spans="1:10" x14ac:dyDescent="0.25">
      <c r="A211">
        <v>210</v>
      </c>
      <c r="B211" t="s">
        <v>511</v>
      </c>
      <c r="C211" s="3">
        <v>161</v>
      </c>
      <c r="D211" s="3">
        <v>-2.2999999999999998</v>
      </c>
      <c r="E211">
        <v>129</v>
      </c>
      <c r="F211" s="2">
        <v>-1.5</v>
      </c>
      <c r="G211" t="s">
        <v>390</v>
      </c>
      <c r="H211" s="3">
        <f>C211/(100+D211)*100</f>
        <v>164.79017400204708</v>
      </c>
      <c r="I211" s="7">
        <f>E211*100/(100+F211)</f>
        <v>130.96446700507613</v>
      </c>
      <c r="J211" s="5">
        <f>C211/E211</f>
        <v>1.248062015503876</v>
      </c>
    </row>
    <row r="212" spans="1:10" x14ac:dyDescent="0.25">
      <c r="A212">
        <v>211</v>
      </c>
      <c r="B212" t="s">
        <v>512</v>
      </c>
      <c r="C212" s="3">
        <v>159</v>
      </c>
      <c r="D212" s="3">
        <v>2</v>
      </c>
      <c r="E212">
        <v>143</v>
      </c>
      <c r="F212" s="2">
        <v>0.7</v>
      </c>
      <c r="G212" t="s">
        <v>413</v>
      </c>
      <c r="H212" s="3">
        <f>C212/(100+D212)*100</f>
        <v>155.88235294117646</v>
      </c>
      <c r="I212" s="7">
        <f>E212*100/(100+F212)</f>
        <v>142.00595829195629</v>
      </c>
      <c r="J212" s="5">
        <f>C212/E212</f>
        <v>1.1118881118881119</v>
      </c>
    </row>
    <row r="213" spans="1:10" x14ac:dyDescent="0.25">
      <c r="A213">
        <v>212</v>
      </c>
      <c r="B213" t="s">
        <v>513</v>
      </c>
      <c r="C213" s="3">
        <v>157</v>
      </c>
      <c r="D213" s="3">
        <v>-15.6</v>
      </c>
      <c r="E213">
        <v>35</v>
      </c>
      <c r="F213" s="2">
        <v>-14.6</v>
      </c>
      <c r="G213" t="s">
        <v>396</v>
      </c>
      <c r="H213" s="3">
        <f>C213/(100+D213)*100</f>
        <v>186.01895734597156</v>
      </c>
      <c r="I213" s="7">
        <f>E213*100/(100+F213)</f>
        <v>40.983606557377044</v>
      </c>
      <c r="J213" s="5">
        <f>C213/E213</f>
        <v>4.4857142857142858</v>
      </c>
    </row>
    <row r="214" spans="1:10" x14ac:dyDescent="0.25">
      <c r="A214">
        <v>213</v>
      </c>
      <c r="B214" t="s">
        <v>514</v>
      </c>
      <c r="C214" s="3">
        <v>157</v>
      </c>
      <c r="D214" s="3">
        <v>1.2</v>
      </c>
      <c r="E214">
        <v>13</v>
      </c>
      <c r="F214" s="2">
        <v>0</v>
      </c>
      <c r="G214" t="s">
        <v>388</v>
      </c>
      <c r="H214" s="3">
        <f>C214/(100+D214)*100</f>
        <v>155.1383399209486</v>
      </c>
      <c r="I214" s="7">
        <f>E214*100/(100+F214)</f>
        <v>13</v>
      </c>
      <c r="J214" s="5">
        <f>C214/E214</f>
        <v>12.076923076923077</v>
      </c>
    </row>
    <row r="215" spans="1:10" x14ac:dyDescent="0.25">
      <c r="A215">
        <v>214</v>
      </c>
      <c r="B215" t="s">
        <v>515</v>
      </c>
      <c r="C215" s="3">
        <v>153</v>
      </c>
      <c r="D215" s="3">
        <v>4</v>
      </c>
      <c r="E215">
        <v>68</v>
      </c>
      <c r="F215" s="2">
        <v>1.5</v>
      </c>
      <c r="G215" t="s">
        <v>392</v>
      </c>
      <c r="H215" s="3">
        <f>C215/(100+D215)*100</f>
        <v>147.11538461538461</v>
      </c>
      <c r="I215" s="7">
        <f>E215*100/(100+F215)</f>
        <v>66.995073891625623</v>
      </c>
      <c r="J215" s="5">
        <f>C215/E215</f>
        <v>2.25</v>
      </c>
    </row>
    <row r="216" spans="1:10" x14ac:dyDescent="0.25">
      <c r="A216">
        <v>215</v>
      </c>
      <c r="B216" t="s">
        <v>516</v>
      </c>
      <c r="C216" s="3">
        <v>153</v>
      </c>
      <c r="D216" s="3">
        <v>39.5</v>
      </c>
      <c r="E216">
        <v>144</v>
      </c>
      <c r="F216" s="2">
        <v>38.5</v>
      </c>
      <c r="G216" t="s">
        <v>390</v>
      </c>
      <c r="H216" s="3">
        <f>C216/(100+D216)*100</f>
        <v>109.6774193548387</v>
      </c>
      <c r="I216" s="7">
        <f>E216*100/(100+F216)</f>
        <v>103.97111913357401</v>
      </c>
      <c r="J216" s="5">
        <f>C216/E216</f>
        <v>1.0625</v>
      </c>
    </row>
    <row r="217" spans="1:10" x14ac:dyDescent="0.25">
      <c r="A217">
        <v>216</v>
      </c>
      <c r="B217" t="s">
        <v>517</v>
      </c>
      <c r="C217" s="3">
        <v>152</v>
      </c>
      <c r="D217" s="3">
        <v>14.5</v>
      </c>
      <c r="E217">
        <v>81</v>
      </c>
      <c r="F217" s="2">
        <v>8</v>
      </c>
      <c r="G217" t="s">
        <v>411</v>
      </c>
      <c r="H217" s="3">
        <f>C217/(100+D217)*100</f>
        <v>132.75109170305677</v>
      </c>
      <c r="I217" s="7">
        <f>E217*100/(100+F217)</f>
        <v>75</v>
      </c>
      <c r="J217" s="5">
        <f>C217/E217</f>
        <v>1.8765432098765431</v>
      </c>
    </row>
    <row r="218" spans="1:10" x14ac:dyDescent="0.25">
      <c r="A218">
        <v>217</v>
      </c>
      <c r="B218" t="s">
        <v>518</v>
      </c>
      <c r="C218" s="3">
        <v>152</v>
      </c>
      <c r="D218" s="3">
        <v>-6.5</v>
      </c>
      <c r="E218">
        <v>63</v>
      </c>
      <c r="F218" s="2">
        <v>-7.4</v>
      </c>
      <c r="G218" t="s">
        <v>418</v>
      </c>
      <c r="H218" s="3">
        <f>C218/(100+D218)*100</f>
        <v>162.56684491978609</v>
      </c>
      <c r="I218" s="7">
        <f>E218*100/(100+F218)</f>
        <v>68.034557235421175</v>
      </c>
      <c r="J218" s="5">
        <f>C218/E218</f>
        <v>2.4126984126984126</v>
      </c>
    </row>
    <row r="219" spans="1:10" x14ac:dyDescent="0.25">
      <c r="A219">
        <v>218</v>
      </c>
      <c r="B219" t="s">
        <v>519</v>
      </c>
      <c r="C219" s="3">
        <v>151</v>
      </c>
      <c r="D219" s="3">
        <v>0.8</v>
      </c>
      <c r="E219">
        <v>56</v>
      </c>
      <c r="F219" s="2">
        <v>0</v>
      </c>
      <c r="G219" t="s">
        <v>357</v>
      </c>
      <c r="H219" s="3">
        <f>C219/(100+D219)*100</f>
        <v>149.80158730158729</v>
      </c>
      <c r="I219" s="7">
        <f>E219*100/(100+F219)</f>
        <v>56</v>
      </c>
      <c r="J219" s="5">
        <f>C219/E219</f>
        <v>2.6964285714285716</v>
      </c>
    </row>
    <row r="220" spans="1:10" x14ac:dyDescent="0.25">
      <c r="A220">
        <v>219</v>
      </c>
      <c r="B220" t="s">
        <v>520</v>
      </c>
      <c r="C220" s="3">
        <v>150</v>
      </c>
      <c r="D220" s="3">
        <v>2.2000000000000002</v>
      </c>
      <c r="E220">
        <v>42</v>
      </c>
      <c r="F220" s="2">
        <v>0</v>
      </c>
      <c r="G220" t="s">
        <v>392</v>
      </c>
      <c r="H220" s="3">
        <f>C220/(100+D220)*100</f>
        <v>146.77103718199609</v>
      </c>
      <c r="I220" s="7">
        <f>E220*100/(100+F220)</f>
        <v>42</v>
      </c>
      <c r="J220" s="5">
        <f>C220/E220</f>
        <v>3.5714285714285716</v>
      </c>
    </row>
    <row r="221" spans="1:10" x14ac:dyDescent="0.25">
      <c r="A221">
        <v>220</v>
      </c>
      <c r="B221" t="s">
        <v>521</v>
      </c>
      <c r="C221" s="3">
        <v>149</v>
      </c>
      <c r="D221" s="3">
        <v>11.9</v>
      </c>
      <c r="E221">
        <v>93</v>
      </c>
      <c r="F221" s="2">
        <v>6.9</v>
      </c>
      <c r="G221" t="s">
        <v>522</v>
      </c>
      <c r="H221" s="3">
        <f>C221/(100+D221)*100</f>
        <v>133.15460232350313</v>
      </c>
      <c r="I221" s="7">
        <f>E221*100/(100+F221)</f>
        <v>86.997193638914865</v>
      </c>
      <c r="J221" s="5">
        <f>C221/E221</f>
        <v>1.6021505376344085</v>
      </c>
    </row>
    <row r="222" spans="1:10" x14ac:dyDescent="0.25">
      <c r="A222">
        <v>221</v>
      </c>
      <c r="B222" t="s">
        <v>523</v>
      </c>
      <c r="C222" s="3">
        <v>149</v>
      </c>
      <c r="D222" s="3">
        <v>-3.1</v>
      </c>
      <c r="E222">
        <v>416</v>
      </c>
      <c r="F222" s="2">
        <v>-2.1</v>
      </c>
      <c r="G222" t="s">
        <v>402</v>
      </c>
      <c r="H222" s="3">
        <f>C222/(100+D222)*100</f>
        <v>153.76676986584107</v>
      </c>
      <c r="I222" s="7">
        <f>E222*100/(100+F222)</f>
        <v>424.92339121552601</v>
      </c>
      <c r="J222" s="5">
        <f>C222/E222</f>
        <v>0.35817307692307693</v>
      </c>
    </row>
    <row r="223" spans="1:10" x14ac:dyDescent="0.25">
      <c r="A223">
        <v>222</v>
      </c>
      <c r="B223" t="s">
        <v>524</v>
      </c>
      <c r="C223" s="3">
        <v>148</v>
      </c>
      <c r="D223" s="3">
        <v>-4.5</v>
      </c>
      <c r="E223">
        <v>210</v>
      </c>
      <c r="F223" s="2">
        <v>-2.8</v>
      </c>
      <c r="G223" t="s">
        <v>411</v>
      </c>
      <c r="H223" s="3">
        <f>C223/(100+D223)*100</f>
        <v>154.9738219895288</v>
      </c>
      <c r="I223" s="7">
        <f>E223*100/(100+F223)</f>
        <v>216.04938271604937</v>
      </c>
      <c r="J223" s="5">
        <f>C223/E223</f>
        <v>0.70476190476190481</v>
      </c>
    </row>
    <row r="224" spans="1:10" x14ac:dyDescent="0.25">
      <c r="A224">
        <v>223</v>
      </c>
      <c r="B224" t="s">
        <v>525</v>
      </c>
      <c r="C224" s="3">
        <v>147</v>
      </c>
      <c r="D224" s="3">
        <v>6.5</v>
      </c>
      <c r="E224">
        <v>139</v>
      </c>
      <c r="F224" s="2">
        <v>2.2000000000000002</v>
      </c>
      <c r="G224" t="s">
        <v>386</v>
      </c>
      <c r="H224" s="3">
        <f>C224/(100+D224)*100</f>
        <v>138.02816901408451</v>
      </c>
      <c r="I224" s="7">
        <f>E224*100/(100+F224)</f>
        <v>136.00782778864971</v>
      </c>
      <c r="J224" s="5">
        <f>C224/E224</f>
        <v>1.0575539568345325</v>
      </c>
    </row>
    <row r="225" spans="1:10" x14ac:dyDescent="0.25">
      <c r="A225">
        <v>224</v>
      </c>
      <c r="B225" t="s">
        <v>526</v>
      </c>
      <c r="C225" s="3">
        <v>144</v>
      </c>
      <c r="D225" s="3">
        <v>2.6</v>
      </c>
      <c r="E225">
        <v>34</v>
      </c>
      <c r="F225" s="2">
        <v>0</v>
      </c>
      <c r="G225" t="s">
        <v>357</v>
      </c>
      <c r="H225" s="3">
        <f>C225/(100+D225)*100</f>
        <v>140.35087719298247</v>
      </c>
      <c r="I225" s="7">
        <f>E225*100/(100+F225)</f>
        <v>34</v>
      </c>
      <c r="J225" s="5">
        <f>C225/E225</f>
        <v>4.2352941176470589</v>
      </c>
    </row>
    <row r="226" spans="1:10" x14ac:dyDescent="0.25">
      <c r="A226">
        <v>225</v>
      </c>
      <c r="B226" t="s">
        <v>527</v>
      </c>
      <c r="C226" s="3">
        <v>144</v>
      </c>
      <c r="D226" s="3">
        <v>8.1</v>
      </c>
      <c r="E226">
        <v>21</v>
      </c>
      <c r="F226" s="2">
        <v>10.5</v>
      </c>
      <c r="G226" t="s">
        <v>396</v>
      </c>
      <c r="H226" s="3">
        <f>C226/(100+D226)*100</f>
        <v>133.2099907493062</v>
      </c>
      <c r="I226" s="7">
        <f>E226*100/(100+F226)</f>
        <v>19.004524886877828</v>
      </c>
      <c r="J226" s="5">
        <f>C226/E226</f>
        <v>6.8571428571428568</v>
      </c>
    </row>
    <row r="227" spans="1:10" x14ac:dyDescent="0.25">
      <c r="A227">
        <v>226</v>
      </c>
      <c r="B227" t="s">
        <v>528</v>
      </c>
      <c r="C227" s="3">
        <v>144</v>
      </c>
      <c r="D227" s="3">
        <v>14.6</v>
      </c>
      <c r="E227">
        <v>54</v>
      </c>
      <c r="F227" s="2">
        <v>14.9</v>
      </c>
      <c r="G227" t="s">
        <v>388</v>
      </c>
      <c r="H227" s="3">
        <f>C227/(100+D227)*100</f>
        <v>125.6544502617801</v>
      </c>
      <c r="I227" s="7">
        <f>E227*100/(100+F227)</f>
        <v>46.997389033942554</v>
      </c>
      <c r="J227" s="5">
        <f>C227/E227</f>
        <v>2.6666666666666665</v>
      </c>
    </row>
    <row r="228" spans="1:10" x14ac:dyDescent="0.25">
      <c r="A228">
        <v>227</v>
      </c>
      <c r="B228" t="s">
        <v>529</v>
      </c>
      <c r="C228" s="3">
        <v>144</v>
      </c>
      <c r="D228" s="3">
        <v>20.2</v>
      </c>
      <c r="E228">
        <v>16</v>
      </c>
      <c r="F228" s="2">
        <v>6.7</v>
      </c>
      <c r="G228" t="s">
        <v>396</v>
      </c>
      <c r="H228" s="3">
        <f>C228/(100+D228)*100</f>
        <v>119.80033277870217</v>
      </c>
      <c r="I228" s="7">
        <f>E228*100/(100+F228)</f>
        <v>14.99531396438613</v>
      </c>
      <c r="J228" s="5">
        <f>C228/E228</f>
        <v>9</v>
      </c>
    </row>
    <row r="229" spans="1:10" x14ac:dyDescent="0.25">
      <c r="A229">
        <v>228</v>
      </c>
      <c r="B229" t="s">
        <v>530</v>
      </c>
      <c r="C229" s="3">
        <v>143</v>
      </c>
      <c r="D229" s="3">
        <v>2.2000000000000002</v>
      </c>
      <c r="E229">
        <v>25</v>
      </c>
      <c r="F229" s="2">
        <v>0</v>
      </c>
      <c r="G229" t="s">
        <v>386</v>
      </c>
      <c r="H229" s="3">
        <f>C229/(100+D229)*100</f>
        <v>139.92172211350294</v>
      </c>
      <c r="I229" s="7">
        <f>E229*100/(100+F229)</f>
        <v>25</v>
      </c>
      <c r="J229" s="5">
        <f>C229/E229</f>
        <v>5.72</v>
      </c>
    </row>
    <row r="230" spans="1:10" x14ac:dyDescent="0.25">
      <c r="A230">
        <v>229</v>
      </c>
      <c r="B230" t="s">
        <v>531</v>
      </c>
      <c r="C230" s="3">
        <v>143</v>
      </c>
      <c r="D230" s="3">
        <v>1.1000000000000001</v>
      </c>
      <c r="E230">
        <v>78</v>
      </c>
      <c r="F230" s="2">
        <v>-2.5</v>
      </c>
      <c r="G230" t="s">
        <v>390</v>
      </c>
      <c r="H230" s="3">
        <f>C230/(100+D230)*100</f>
        <v>141.4441147378833</v>
      </c>
      <c r="I230" s="7">
        <f>E230*100/(100+F230)</f>
        <v>80</v>
      </c>
      <c r="J230" s="5">
        <f>C230/E230</f>
        <v>1.8333333333333333</v>
      </c>
    </row>
    <row r="231" spans="1:10" x14ac:dyDescent="0.25">
      <c r="A231">
        <v>230</v>
      </c>
      <c r="B231" t="s">
        <v>532</v>
      </c>
      <c r="C231" s="3">
        <v>143</v>
      </c>
      <c r="D231" s="3">
        <v>-21.2</v>
      </c>
      <c r="E231">
        <v>45</v>
      </c>
      <c r="F231" s="2">
        <v>-32.799999999999997</v>
      </c>
      <c r="G231" t="s">
        <v>388</v>
      </c>
      <c r="H231" s="3">
        <f>C231/(100+D231)*100</f>
        <v>181.47208121827413</v>
      </c>
      <c r="I231" s="7">
        <f>E231*100/(100+F231)</f>
        <v>66.964285714285708</v>
      </c>
      <c r="J231" s="5">
        <f>C231/E231</f>
        <v>3.1777777777777776</v>
      </c>
    </row>
    <row r="232" spans="1:10" x14ac:dyDescent="0.25">
      <c r="A232">
        <v>231</v>
      </c>
      <c r="B232" t="s">
        <v>533</v>
      </c>
      <c r="C232" s="3">
        <v>142</v>
      </c>
      <c r="D232" s="3">
        <v>-18.8</v>
      </c>
      <c r="E232">
        <v>49</v>
      </c>
      <c r="F232" s="2">
        <v>-24.6</v>
      </c>
      <c r="G232" t="s">
        <v>448</v>
      </c>
      <c r="H232" s="3">
        <f>C232/(100+D232)*100</f>
        <v>174.8768472906404</v>
      </c>
      <c r="I232" s="7">
        <f>E232*100/(100+F232)</f>
        <v>64.986737400530501</v>
      </c>
      <c r="J232" s="5">
        <f>C232/E232</f>
        <v>2.8979591836734695</v>
      </c>
    </row>
    <row r="233" spans="1:10" x14ac:dyDescent="0.25">
      <c r="A233">
        <v>232</v>
      </c>
      <c r="B233" t="s">
        <v>534</v>
      </c>
      <c r="C233" s="3">
        <v>142</v>
      </c>
      <c r="D233" s="3">
        <v>2.7</v>
      </c>
      <c r="E233">
        <v>368</v>
      </c>
      <c r="F233" s="2">
        <v>2.2000000000000002</v>
      </c>
      <c r="G233" t="s">
        <v>471</v>
      </c>
      <c r="H233" s="3">
        <f>C233/(100+D233)*100</f>
        <v>138.26679649464461</v>
      </c>
      <c r="I233" s="7">
        <f>E233*100/(100+F233)</f>
        <v>360.07827788649706</v>
      </c>
      <c r="J233" s="5">
        <f>C233/E233</f>
        <v>0.3858695652173913</v>
      </c>
    </row>
    <row r="234" spans="1:10" x14ac:dyDescent="0.25">
      <c r="A234">
        <v>233</v>
      </c>
      <c r="B234" t="s">
        <v>535</v>
      </c>
      <c r="C234" s="3">
        <v>139</v>
      </c>
      <c r="D234" s="3">
        <v>9.4</v>
      </c>
      <c r="E234">
        <v>17</v>
      </c>
      <c r="F234" s="2">
        <v>13.3</v>
      </c>
      <c r="G234" t="s">
        <v>415</v>
      </c>
      <c r="H234" s="3">
        <f>C234/(100+D234)*100</f>
        <v>127.05667276051187</v>
      </c>
      <c r="I234" s="7">
        <f>E234*100/(100+F234)</f>
        <v>15.00441306266549</v>
      </c>
      <c r="J234" s="5">
        <f>C234/E234</f>
        <v>8.1764705882352935</v>
      </c>
    </row>
    <row r="235" spans="1:10" x14ac:dyDescent="0.25">
      <c r="A235">
        <v>234</v>
      </c>
      <c r="B235" t="s">
        <v>536</v>
      </c>
      <c r="C235" s="3">
        <v>138</v>
      </c>
      <c r="D235" s="3">
        <v>3</v>
      </c>
      <c r="E235">
        <v>112</v>
      </c>
      <c r="F235" s="2">
        <v>7.7</v>
      </c>
      <c r="G235" t="s">
        <v>413</v>
      </c>
      <c r="H235" s="3">
        <f>C235/(100+D235)*100</f>
        <v>133.98058252427185</v>
      </c>
      <c r="I235" s="7">
        <f>E235*100/(100+F235)</f>
        <v>103.99257195914578</v>
      </c>
      <c r="J235" s="5">
        <f>C235/E235</f>
        <v>1.2321428571428572</v>
      </c>
    </row>
    <row r="236" spans="1:10" x14ac:dyDescent="0.25">
      <c r="A236">
        <v>235</v>
      </c>
      <c r="B236" t="s">
        <v>537</v>
      </c>
      <c r="C236" s="3">
        <v>136</v>
      </c>
      <c r="D236" s="3">
        <v>25</v>
      </c>
      <c r="E236">
        <v>90</v>
      </c>
      <c r="F236" s="2">
        <v>21.6</v>
      </c>
      <c r="G236" t="s">
        <v>407</v>
      </c>
      <c r="H236" s="3">
        <f>C236/(100+D236)*100</f>
        <v>108.80000000000001</v>
      </c>
      <c r="I236" s="7">
        <f>E236*100/(100+F236)</f>
        <v>74.01315789473685</v>
      </c>
      <c r="J236" s="5">
        <f>C236/E236</f>
        <v>1.5111111111111111</v>
      </c>
    </row>
    <row r="237" spans="1:10" x14ac:dyDescent="0.25">
      <c r="A237">
        <v>236</v>
      </c>
      <c r="B237" t="s">
        <v>538</v>
      </c>
      <c r="C237" s="3">
        <v>133</v>
      </c>
      <c r="D237" s="3">
        <v>27.8</v>
      </c>
      <c r="E237">
        <v>33</v>
      </c>
      <c r="F237" s="2">
        <v>37.5</v>
      </c>
      <c r="G237" t="s">
        <v>357</v>
      </c>
      <c r="H237" s="3">
        <f>C237/(100+D237)*100</f>
        <v>104.06885758998435</v>
      </c>
      <c r="I237" s="7">
        <f>E237*100/(100+F237)</f>
        <v>24</v>
      </c>
      <c r="J237" s="5">
        <f>C237/E237</f>
        <v>4.0303030303030303</v>
      </c>
    </row>
    <row r="238" spans="1:10" x14ac:dyDescent="0.25">
      <c r="A238">
        <v>237</v>
      </c>
      <c r="B238" t="s">
        <v>539</v>
      </c>
      <c r="C238" s="3">
        <v>133</v>
      </c>
      <c r="D238" s="3">
        <v>-2.1</v>
      </c>
      <c r="E238">
        <v>282</v>
      </c>
      <c r="F238" s="2">
        <v>-0.7</v>
      </c>
      <c r="G238" t="s">
        <v>405</v>
      </c>
      <c r="H238" s="3">
        <f>C238/(100+D238)*100</f>
        <v>135.85291113380998</v>
      </c>
      <c r="I238" s="7">
        <f>E238*100/(100+F238)</f>
        <v>283.98791540785498</v>
      </c>
      <c r="J238" s="5">
        <f>C238/E238</f>
        <v>0.47163120567375888</v>
      </c>
    </row>
    <row r="239" spans="1:10" x14ac:dyDescent="0.25">
      <c r="A239">
        <v>238</v>
      </c>
      <c r="B239" t="s">
        <v>540</v>
      </c>
      <c r="C239" s="3">
        <v>132</v>
      </c>
      <c r="D239" s="3">
        <v>-2.6</v>
      </c>
      <c r="E239">
        <v>267</v>
      </c>
      <c r="F239" s="2">
        <v>-2.2000000000000002</v>
      </c>
      <c r="G239" t="s">
        <v>402</v>
      </c>
      <c r="H239" s="3">
        <f>C239/(100+D239)*100</f>
        <v>135.523613963039</v>
      </c>
      <c r="I239" s="7">
        <f>E239*100/(100+F239)</f>
        <v>273.00613496932516</v>
      </c>
      <c r="J239" s="5">
        <f>C239/E239</f>
        <v>0.4943820224719101</v>
      </c>
    </row>
    <row r="240" spans="1:10" x14ac:dyDescent="0.25">
      <c r="A240">
        <v>239</v>
      </c>
      <c r="B240" t="s">
        <v>541</v>
      </c>
      <c r="C240" s="3">
        <v>132</v>
      </c>
      <c r="D240" s="3">
        <v>2.2000000000000002</v>
      </c>
      <c r="E240">
        <v>415</v>
      </c>
      <c r="F240" s="2">
        <v>0.2</v>
      </c>
      <c r="G240" t="s">
        <v>471</v>
      </c>
      <c r="H240" s="3">
        <f>C240/(100+D240)*100</f>
        <v>129.15851272015655</v>
      </c>
      <c r="I240" s="7">
        <f>E240*100/(100+F240)</f>
        <v>414.17165668662676</v>
      </c>
      <c r="J240" s="5">
        <f>C240/E240</f>
        <v>0.3180722891566265</v>
      </c>
    </row>
    <row r="241" spans="1:10" x14ac:dyDescent="0.25">
      <c r="A241">
        <v>240</v>
      </c>
      <c r="B241" t="s">
        <v>542</v>
      </c>
      <c r="C241" s="3">
        <v>132</v>
      </c>
      <c r="D241" s="3">
        <v>3.7</v>
      </c>
      <c r="E241">
        <v>191</v>
      </c>
      <c r="F241" s="2">
        <v>0</v>
      </c>
      <c r="G241" t="s">
        <v>435</v>
      </c>
      <c r="H241" s="3">
        <f>C241/(100+D241)*100</f>
        <v>127.29026036644167</v>
      </c>
      <c r="I241" s="7">
        <f>E241*100/(100+F241)</f>
        <v>191</v>
      </c>
      <c r="J241" s="5">
        <f>C241/E241</f>
        <v>0.69109947643979053</v>
      </c>
    </row>
    <row r="242" spans="1:10" x14ac:dyDescent="0.25">
      <c r="A242">
        <v>241</v>
      </c>
      <c r="B242" t="s">
        <v>543</v>
      </c>
      <c r="C242" s="3">
        <v>131</v>
      </c>
      <c r="D242" s="3">
        <v>4.5</v>
      </c>
      <c r="E242">
        <v>31</v>
      </c>
      <c r="F242" s="2">
        <v>6.9</v>
      </c>
      <c r="G242" t="s">
        <v>388</v>
      </c>
      <c r="H242" s="3">
        <f>C242/(100+D242)*100</f>
        <v>125.35885167464116</v>
      </c>
      <c r="I242" s="7">
        <f>E242*100/(100+F242)</f>
        <v>28.999064546304957</v>
      </c>
      <c r="J242" s="5">
        <f>C242/E242</f>
        <v>4.225806451612903</v>
      </c>
    </row>
    <row r="243" spans="1:10" x14ac:dyDescent="0.25">
      <c r="A243">
        <v>242</v>
      </c>
      <c r="B243" t="s">
        <v>544</v>
      </c>
      <c r="C243" s="3">
        <v>129</v>
      </c>
      <c r="D243" s="3">
        <v>3.8</v>
      </c>
      <c r="E243">
        <v>240</v>
      </c>
      <c r="F243" s="2">
        <v>0.8</v>
      </c>
      <c r="G243" t="s">
        <v>405</v>
      </c>
      <c r="H243" s="3">
        <f>C243/(100+D243)*100</f>
        <v>124.27745664739885</v>
      </c>
      <c r="I243" s="7">
        <f>E243*100/(100+F243)</f>
        <v>238.0952380952381</v>
      </c>
      <c r="J243" s="5">
        <f>C243/E243</f>
        <v>0.53749999999999998</v>
      </c>
    </row>
    <row r="244" spans="1:10" x14ac:dyDescent="0.25">
      <c r="A244">
        <v>243</v>
      </c>
      <c r="B244" t="s">
        <v>545</v>
      </c>
      <c r="C244" s="3">
        <v>129</v>
      </c>
      <c r="D244" s="3">
        <v>5.2</v>
      </c>
      <c r="E244">
        <v>93</v>
      </c>
      <c r="F244" s="2">
        <v>2.2000000000000002</v>
      </c>
      <c r="G244" t="s">
        <v>386</v>
      </c>
      <c r="H244" s="3">
        <f>C244/(100+D244)*100</f>
        <v>122.62357414448668</v>
      </c>
      <c r="I244" s="7">
        <f>E244*100/(100+F244)</f>
        <v>90.998043052837573</v>
      </c>
      <c r="J244" s="5">
        <f>C244/E244</f>
        <v>1.3870967741935485</v>
      </c>
    </row>
    <row r="245" spans="1:10" x14ac:dyDescent="0.25">
      <c r="A245">
        <v>244</v>
      </c>
      <c r="B245" t="s">
        <v>546</v>
      </c>
      <c r="C245" s="3">
        <v>129</v>
      </c>
      <c r="D245" s="3">
        <v>5.0999999999999996</v>
      </c>
      <c r="E245">
        <v>195</v>
      </c>
      <c r="F245" s="2">
        <v>3.7</v>
      </c>
      <c r="G245" t="s">
        <v>407</v>
      </c>
      <c r="H245" s="3">
        <f>C245/(100+D245)*100</f>
        <v>122.74024738344436</v>
      </c>
      <c r="I245" s="7">
        <f>E245*100/(100+F245)</f>
        <v>188.04243008678881</v>
      </c>
      <c r="J245" s="5">
        <f>C245/E245</f>
        <v>0.66153846153846152</v>
      </c>
    </row>
    <row r="246" spans="1:10" x14ac:dyDescent="0.25">
      <c r="A246">
        <v>245</v>
      </c>
      <c r="B246" t="s">
        <v>547</v>
      </c>
      <c r="C246" s="3">
        <v>129</v>
      </c>
      <c r="D246" s="3">
        <v>18.600000000000001</v>
      </c>
      <c r="E246">
        <v>52</v>
      </c>
      <c r="F246" s="2">
        <v>8.3000000000000007</v>
      </c>
      <c r="G246" t="s">
        <v>415</v>
      </c>
      <c r="H246" s="3">
        <f>C246/(100+D246)*100</f>
        <v>108.76897133220911</v>
      </c>
      <c r="I246" s="7">
        <f>E246*100/(100+F246)</f>
        <v>48.014773776546633</v>
      </c>
      <c r="J246" s="5">
        <f>C246/E246</f>
        <v>2.4807692307692308</v>
      </c>
    </row>
    <row r="247" spans="1:10" x14ac:dyDescent="0.25">
      <c r="A247">
        <v>246</v>
      </c>
      <c r="B247" t="s">
        <v>548</v>
      </c>
      <c r="C247" s="3">
        <v>129</v>
      </c>
      <c r="D247" s="3">
        <v>-10.4</v>
      </c>
      <c r="E247">
        <v>18</v>
      </c>
      <c r="F247" s="2">
        <v>-5.3</v>
      </c>
      <c r="G247" t="s">
        <v>388</v>
      </c>
      <c r="H247" s="3">
        <f>C247/(100+D247)*100</f>
        <v>143.97321428571431</v>
      </c>
      <c r="I247" s="7">
        <f>E247*100/(100+F247)</f>
        <v>19.00739176346357</v>
      </c>
      <c r="J247" s="5">
        <f>C247/E247</f>
        <v>7.166666666666667</v>
      </c>
    </row>
    <row r="248" spans="1:10" x14ac:dyDescent="0.25">
      <c r="A248">
        <v>247</v>
      </c>
      <c r="B248" t="s">
        <v>549</v>
      </c>
      <c r="C248" s="3">
        <v>127</v>
      </c>
      <c r="D248" s="3">
        <v>-5.5</v>
      </c>
      <c r="E248">
        <v>56</v>
      </c>
      <c r="F248" s="2">
        <v>-11.1</v>
      </c>
      <c r="G248" t="s">
        <v>390</v>
      </c>
      <c r="H248" s="3">
        <f>C248/(100+D248)*100</f>
        <v>134.39153439153441</v>
      </c>
      <c r="I248" s="7">
        <f>E248*100/(100+F248)</f>
        <v>62.992125984251963</v>
      </c>
      <c r="J248" s="5">
        <f>C248/E248</f>
        <v>2.2678571428571428</v>
      </c>
    </row>
    <row r="249" spans="1:10" x14ac:dyDescent="0.25">
      <c r="A249">
        <v>248</v>
      </c>
      <c r="B249" t="s">
        <v>550</v>
      </c>
      <c r="C249" s="3">
        <v>127</v>
      </c>
      <c r="D249" s="3">
        <v>12.1</v>
      </c>
      <c r="E249">
        <v>25</v>
      </c>
      <c r="F249" s="2">
        <v>8.6999999999999993</v>
      </c>
      <c r="G249" t="s">
        <v>386</v>
      </c>
      <c r="H249" s="3">
        <f>C249/(100+D249)*100</f>
        <v>113.29170383586084</v>
      </c>
      <c r="I249" s="7">
        <f>E249*100/(100+F249)</f>
        <v>22.999080036798528</v>
      </c>
      <c r="J249" s="5">
        <f>C249/E249</f>
        <v>5.08</v>
      </c>
    </row>
    <row r="250" spans="1:10" x14ac:dyDescent="0.25">
      <c r="A250">
        <v>249</v>
      </c>
      <c r="B250" t="s">
        <v>551</v>
      </c>
      <c r="C250" s="3">
        <v>126</v>
      </c>
      <c r="D250" s="3">
        <v>10.1</v>
      </c>
      <c r="E250">
        <v>270</v>
      </c>
      <c r="F250" s="2">
        <v>7.1</v>
      </c>
      <c r="G250" t="s">
        <v>413</v>
      </c>
      <c r="H250" s="3">
        <f>C250/(100+D250)*100</f>
        <v>114.44141689373298</v>
      </c>
      <c r="I250" s="7">
        <f>E250*100/(100+F250)</f>
        <v>252.10084033613447</v>
      </c>
      <c r="J250" s="5">
        <f>C250/E250</f>
        <v>0.46666666666666667</v>
      </c>
    </row>
    <row r="251" spans="1:10" x14ac:dyDescent="0.25">
      <c r="A251">
        <v>250</v>
      </c>
      <c r="B251" t="s">
        <v>552</v>
      </c>
      <c r="C251" s="3">
        <v>126</v>
      </c>
      <c r="D251" s="3">
        <v>15.2</v>
      </c>
      <c r="E251">
        <v>40</v>
      </c>
      <c r="F251" s="2">
        <v>11.1</v>
      </c>
      <c r="G251" t="s">
        <v>390</v>
      </c>
      <c r="H251" s="3">
        <f>C251/(100+D251)*100</f>
        <v>109.375</v>
      </c>
      <c r="I251" s="7">
        <f>E251*100/(100+F251)</f>
        <v>36.003600360036003</v>
      </c>
      <c r="J251" s="5">
        <f>C251/E251</f>
        <v>3.15</v>
      </c>
    </row>
  </sheetData>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51537-1B6A-4175-A6F5-B81DD27D6562}">
  <dimension ref="A21:K523"/>
  <sheetViews>
    <sheetView tabSelected="1" zoomScaleNormal="100" workbookViewId="0">
      <selection activeCell="G22" sqref="G22"/>
    </sheetView>
  </sheetViews>
  <sheetFormatPr defaultRowHeight="15" x14ac:dyDescent="0.25"/>
  <cols>
    <col min="1" max="1" width="36.7109375" bestFit="1" customWidth="1"/>
    <col min="2" max="2" width="22.85546875" bestFit="1" customWidth="1"/>
    <col min="3" max="3" width="12.28515625" bestFit="1" customWidth="1"/>
    <col min="7" max="7" width="31.85546875" bestFit="1" customWidth="1"/>
    <col min="8" max="8" width="18" bestFit="1" customWidth="1"/>
    <col min="9" max="9" width="8.42578125" bestFit="1" customWidth="1"/>
    <col min="10" max="161" width="8" bestFit="1" customWidth="1"/>
    <col min="162" max="204" width="9.5703125" bestFit="1" customWidth="1"/>
    <col min="205" max="210" width="10.5703125" bestFit="1" customWidth="1"/>
    <col min="211" max="211" width="12.7109375" bestFit="1" customWidth="1"/>
  </cols>
  <sheetData>
    <row r="21" spans="8:9" x14ac:dyDescent="0.25">
      <c r="H21" t="s">
        <v>565</v>
      </c>
      <c r="I21" s="4">
        <f>SUM('Pré processamento'!C2:C251)/SUM('Pré processamento'!E2:E251)</f>
        <v>1.4619163463031541</v>
      </c>
    </row>
    <row r="22" spans="8:9" x14ac:dyDescent="0.25">
      <c r="I22">
        <v>1.58</v>
      </c>
    </row>
    <row r="41" spans="10:11" x14ac:dyDescent="0.25">
      <c r="J41" s="11" t="s">
        <v>415</v>
      </c>
      <c r="K41" s="12">
        <v>268</v>
      </c>
    </row>
    <row r="42" spans="10:11" x14ac:dyDescent="0.25">
      <c r="J42" s="11" t="s">
        <v>435</v>
      </c>
      <c r="K42" s="12">
        <v>400</v>
      </c>
    </row>
    <row r="43" spans="10:11" x14ac:dyDescent="0.25">
      <c r="J43" s="11" t="s">
        <v>411</v>
      </c>
      <c r="K43" s="12">
        <v>1369</v>
      </c>
    </row>
    <row r="44" spans="10:11" x14ac:dyDescent="0.25">
      <c r="J44" s="11" t="s">
        <v>407</v>
      </c>
      <c r="K44" s="12">
        <v>1123</v>
      </c>
    </row>
    <row r="45" spans="10:11" x14ac:dyDescent="0.25">
      <c r="J45" s="11" t="s">
        <v>413</v>
      </c>
      <c r="K45" s="12">
        <v>1844</v>
      </c>
    </row>
    <row r="46" spans="10:11" x14ac:dyDescent="0.25">
      <c r="J46" s="11" t="s">
        <v>278</v>
      </c>
      <c r="K46" s="12">
        <v>1735</v>
      </c>
    </row>
    <row r="47" spans="10:11" x14ac:dyDescent="0.25">
      <c r="J47" s="11" t="s">
        <v>301</v>
      </c>
      <c r="K47" s="12">
        <v>587</v>
      </c>
    </row>
    <row r="48" spans="10:11" x14ac:dyDescent="0.25">
      <c r="J48" s="11" t="s">
        <v>289</v>
      </c>
      <c r="K48" s="12">
        <v>1304</v>
      </c>
    </row>
    <row r="49" spans="5:11" x14ac:dyDescent="0.25">
      <c r="J49" s="11" t="s">
        <v>295</v>
      </c>
      <c r="K49" s="12">
        <v>4998</v>
      </c>
    </row>
    <row r="50" spans="5:11" x14ac:dyDescent="0.25">
      <c r="E50" s="9" t="s">
        <v>256</v>
      </c>
      <c r="F50" s="10">
        <v>79384</v>
      </c>
      <c r="J50" s="11" t="s">
        <v>280</v>
      </c>
      <c r="K50" s="12">
        <v>11601</v>
      </c>
    </row>
    <row r="51" spans="5:11" x14ac:dyDescent="0.25">
      <c r="E51" s="9" t="s">
        <v>258</v>
      </c>
      <c r="F51" s="10">
        <v>31889</v>
      </c>
      <c r="J51" s="11" t="s">
        <v>390</v>
      </c>
      <c r="K51" s="12">
        <v>893</v>
      </c>
    </row>
    <row r="52" spans="5:11" x14ac:dyDescent="0.25">
      <c r="E52" s="9" t="s">
        <v>260</v>
      </c>
      <c r="F52" s="10">
        <v>22619</v>
      </c>
      <c r="J52" s="11" t="s">
        <v>405</v>
      </c>
      <c r="K52" s="12">
        <v>568</v>
      </c>
    </row>
    <row r="53" spans="5:11" x14ac:dyDescent="0.25">
      <c r="E53" s="9" t="s">
        <v>269</v>
      </c>
      <c r="F53" s="10">
        <v>21316</v>
      </c>
      <c r="J53" s="11" t="s">
        <v>448</v>
      </c>
      <c r="K53" s="12">
        <v>548</v>
      </c>
    </row>
    <row r="54" spans="5:11" x14ac:dyDescent="0.25">
      <c r="E54" s="9" t="s">
        <v>280</v>
      </c>
      <c r="F54" s="10">
        <v>15686</v>
      </c>
      <c r="J54" s="11" t="s">
        <v>293</v>
      </c>
      <c r="K54" s="12">
        <v>8411</v>
      </c>
    </row>
    <row r="55" spans="5:11" x14ac:dyDescent="0.25">
      <c r="E55" s="9" t="s">
        <v>265</v>
      </c>
      <c r="F55" s="10">
        <v>14965</v>
      </c>
      <c r="J55" s="11" t="s">
        <v>418</v>
      </c>
      <c r="K55" s="12">
        <v>1954</v>
      </c>
    </row>
    <row r="56" spans="5:11" x14ac:dyDescent="0.25">
      <c r="E56" s="9" t="s">
        <v>262</v>
      </c>
      <c r="F56" s="10">
        <v>12143</v>
      </c>
      <c r="J56" s="11" t="s">
        <v>282</v>
      </c>
      <c r="K56" s="12">
        <v>533</v>
      </c>
    </row>
    <row r="57" spans="5:11" x14ac:dyDescent="0.25">
      <c r="E57" s="9" t="s">
        <v>293</v>
      </c>
      <c r="F57" s="10">
        <v>11677</v>
      </c>
      <c r="J57" s="11" t="s">
        <v>314</v>
      </c>
      <c r="K57" s="12">
        <v>1657</v>
      </c>
    </row>
    <row r="58" spans="5:11" x14ac:dyDescent="0.25">
      <c r="E58" s="9" t="s">
        <v>295</v>
      </c>
      <c r="F58" s="10">
        <v>8014</v>
      </c>
      <c r="J58" s="11" t="s">
        <v>308</v>
      </c>
      <c r="K58" s="12">
        <v>3330</v>
      </c>
    </row>
    <row r="59" spans="5:11" x14ac:dyDescent="0.25">
      <c r="E59" s="9" t="s">
        <v>274</v>
      </c>
      <c r="F59" s="10">
        <v>7159</v>
      </c>
      <c r="J59" s="11" t="s">
        <v>274</v>
      </c>
      <c r="K59" s="12">
        <v>1650</v>
      </c>
    </row>
    <row r="60" spans="5:11" x14ac:dyDescent="0.25">
      <c r="E60" s="9" t="s">
        <v>305</v>
      </c>
      <c r="F60" s="10">
        <v>6154</v>
      </c>
      <c r="J60" s="11" t="s">
        <v>305</v>
      </c>
      <c r="K60" s="12">
        <v>4049</v>
      </c>
    </row>
    <row r="61" spans="5:11" x14ac:dyDescent="0.25">
      <c r="E61" s="9" t="s">
        <v>278</v>
      </c>
      <c r="F61" s="10">
        <v>6022</v>
      </c>
      <c r="J61" s="11" t="s">
        <v>402</v>
      </c>
      <c r="K61" s="12">
        <v>549</v>
      </c>
    </row>
    <row r="62" spans="5:11" x14ac:dyDescent="0.25">
      <c r="E62" s="9" t="s">
        <v>271</v>
      </c>
      <c r="F62" s="10">
        <v>5890</v>
      </c>
      <c r="J62" s="11" t="s">
        <v>392</v>
      </c>
      <c r="K62" s="12">
        <v>1735</v>
      </c>
    </row>
    <row r="63" spans="5:11" x14ac:dyDescent="0.25">
      <c r="E63" s="9" t="s">
        <v>308</v>
      </c>
      <c r="F63" s="10">
        <v>5216</v>
      </c>
      <c r="J63" s="11" t="s">
        <v>386</v>
      </c>
      <c r="K63" s="12">
        <v>2970</v>
      </c>
    </row>
    <row r="64" spans="5:11" x14ac:dyDescent="0.25">
      <c r="E64" s="9" t="s">
        <v>289</v>
      </c>
      <c r="F64" s="10">
        <v>4973</v>
      </c>
      <c r="J64" s="11" t="s">
        <v>394</v>
      </c>
      <c r="K64" s="12">
        <v>2175</v>
      </c>
    </row>
    <row r="65" spans="1:11" x14ac:dyDescent="0.25">
      <c r="E65" s="9" t="s">
        <v>388</v>
      </c>
      <c r="F65" s="10">
        <v>4610</v>
      </c>
      <c r="J65" s="11" t="s">
        <v>355</v>
      </c>
      <c r="K65" s="12">
        <v>976</v>
      </c>
    </row>
    <row r="66" spans="1:11" x14ac:dyDescent="0.25">
      <c r="E66" s="9" t="s">
        <v>282</v>
      </c>
      <c r="F66" s="10">
        <v>4479</v>
      </c>
      <c r="J66" s="11" t="s">
        <v>256</v>
      </c>
      <c r="K66" s="12">
        <v>38972</v>
      </c>
    </row>
    <row r="67" spans="1:11" x14ac:dyDescent="0.25">
      <c r="E67" s="9" t="s">
        <v>287</v>
      </c>
      <c r="F67" s="10">
        <v>4375</v>
      </c>
      <c r="J67" s="11" t="s">
        <v>260</v>
      </c>
      <c r="K67" s="12">
        <v>11299</v>
      </c>
    </row>
    <row r="68" spans="1:11" x14ac:dyDescent="0.25">
      <c r="E68" s="9" t="s">
        <v>386</v>
      </c>
      <c r="F68" s="10">
        <v>3396</v>
      </c>
      <c r="J68" s="11" t="s">
        <v>258</v>
      </c>
      <c r="K68" s="12">
        <v>10509</v>
      </c>
    </row>
    <row r="69" spans="1:11" x14ac:dyDescent="0.25">
      <c r="A69" s="8" t="s">
        <v>254</v>
      </c>
      <c r="B69" t="s">
        <v>564</v>
      </c>
      <c r="E69" s="9" t="s">
        <v>314</v>
      </c>
      <c r="F69" s="10">
        <v>3318</v>
      </c>
      <c r="J69" s="11" t="s">
        <v>287</v>
      </c>
      <c r="K69" s="12">
        <v>615</v>
      </c>
    </row>
    <row r="70" spans="1:11" x14ac:dyDescent="0.25">
      <c r="E70" s="9" t="s">
        <v>301</v>
      </c>
      <c r="F70" s="10">
        <v>3077</v>
      </c>
      <c r="J70" s="11" t="s">
        <v>262</v>
      </c>
      <c r="K70" s="12">
        <v>850</v>
      </c>
    </row>
    <row r="71" spans="1:11" x14ac:dyDescent="0.25">
      <c r="A71" s="8" t="s">
        <v>559</v>
      </c>
      <c r="B71" t="s">
        <v>561</v>
      </c>
      <c r="E71" s="9" t="s">
        <v>344</v>
      </c>
      <c r="F71" s="10">
        <v>2989</v>
      </c>
      <c r="J71" s="11" t="s">
        <v>269</v>
      </c>
      <c r="K71" s="12">
        <v>14272</v>
      </c>
    </row>
    <row r="72" spans="1:11" x14ac:dyDescent="0.25">
      <c r="A72" s="9" t="s">
        <v>459</v>
      </c>
      <c r="B72" s="6">
        <v>0.39478260869565218</v>
      </c>
      <c r="E72" s="9" t="s">
        <v>394</v>
      </c>
      <c r="F72" s="10">
        <v>2585</v>
      </c>
      <c r="J72" s="11" t="s">
        <v>265</v>
      </c>
      <c r="K72" s="12">
        <v>4765</v>
      </c>
    </row>
    <row r="73" spans="1:11" x14ac:dyDescent="0.25">
      <c r="A73" s="9" t="s">
        <v>263</v>
      </c>
      <c r="B73" s="6">
        <v>1.3890552681731554</v>
      </c>
      <c r="E73" s="9" t="s">
        <v>418</v>
      </c>
      <c r="F73" s="10">
        <v>2292</v>
      </c>
      <c r="J73" s="11" t="s">
        <v>331</v>
      </c>
      <c r="K73" s="12">
        <v>559</v>
      </c>
    </row>
    <row r="74" spans="1:11" x14ac:dyDescent="0.25">
      <c r="A74" s="9" t="s">
        <v>536</v>
      </c>
      <c r="B74" s="6">
        <v>1.2321428571428572</v>
      </c>
      <c r="E74" s="9" t="s">
        <v>413</v>
      </c>
      <c r="F74" s="10">
        <v>2187</v>
      </c>
      <c r="J74" s="11" t="s">
        <v>409</v>
      </c>
      <c r="K74" s="12">
        <v>1459</v>
      </c>
    </row>
    <row r="75" spans="1:11" x14ac:dyDescent="0.25">
      <c r="A75" s="9" t="s">
        <v>317</v>
      </c>
      <c r="B75" s="6">
        <v>1.2995433789954338</v>
      </c>
      <c r="E75" s="9" t="s">
        <v>392</v>
      </c>
      <c r="F75" s="10">
        <v>2152</v>
      </c>
      <c r="J75" s="11" t="s">
        <v>396</v>
      </c>
      <c r="K75" s="12">
        <v>1288</v>
      </c>
    </row>
    <row r="76" spans="1:11" x14ac:dyDescent="0.25">
      <c r="A76" s="9" t="s">
        <v>365</v>
      </c>
      <c r="B76" s="6">
        <v>0.91609589041095896</v>
      </c>
      <c r="E76" s="9" t="s">
        <v>409</v>
      </c>
      <c r="F76" s="10">
        <v>1807</v>
      </c>
      <c r="J76" s="11" t="s">
        <v>471</v>
      </c>
      <c r="K76" s="12">
        <v>451</v>
      </c>
    </row>
    <row r="77" spans="1:11" x14ac:dyDescent="0.25">
      <c r="A77" s="9" t="s">
        <v>551</v>
      </c>
      <c r="B77" s="6">
        <v>0.46666666666666667</v>
      </c>
      <c r="E77" s="9" t="s">
        <v>312</v>
      </c>
      <c r="F77" s="10">
        <v>1746</v>
      </c>
      <c r="J77" s="11" t="s">
        <v>357</v>
      </c>
      <c r="K77" s="12">
        <v>934</v>
      </c>
    </row>
    <row r="78" spans="1:11" x14ac:dyDescent="0.25">
      <c r="A78" s="9" t="s">
        <v>310</v>
      </c>
      <c r="B78" s="6">
        <v>2.4521857923497268</v>
      </c>
      <c r="E78" s="9" t="s">
        <v>411</v>
      </c>
      <c r="F78" s="10">
        <v>1717</v>
      </c>
      <c r="J78" s="11" t="s">
        <v>344</v>
      </c>
      <c r="K78" s="12">
        <v>2286</v>
      </c>
    </row>
    <row r="79" spans="1:11" x14ac:dyDescent="0.25">
      <c r="A79" s="9" t="s">
        <v>491</v>
      </c>
      <c r="B79" s="6">
        <v>1.924731182795699</v>
      </c>
      <c r="E79" s="9" t="s">
        <v>396</v>
      </c>
      <c r="F79" s="10">
        <v>1692</v>
      </c>
      <c r="J79" s="11" t="s">
        <v>388</v>
      </c>
      <c r="K79" s="12">
        <v>4184</v>
      </c>
    </row>
    <row r="80" spans="1:11" x14ac:dyDescent="0.25">
      <c r="A80" s="9" t="s">
        <v>313</v>
      </c>
      <c r="B80" s="6">
        <v>1.2141812865497077</v>
      </c>
      <c r="E80" s="9" t="s">
        <v>355</v>
      </c>
      <c r="F80" s="10">
        <v>1552</v>
      </c>
    </row>
    <row r="81" spans="1:9" x14ac:dyDescent="0.25">
      <c r="A81" s="9" t="s">
        <v>364</v>
      </c>
      <c r="B81" s="6">
        <v>1.4538043478260869</v>
      </c>
      <c r="E81" s="9" t="s">
        <v>357</v>
      </c>
      <c r="F81" s="10">
        <v>1505</v>
      </c>
    </row>
    <row r="82" spans="1:9" x14ac:dyDescent="0.25">
      <c r="A82" s="9" t="s">
        <v>483</v>
      </c>
      <c r="B82" s="6">
        <v>1.3405797101449275</v>
      </c>
      <c r="E82" s="9" t="s">
        <v>407</v>
      </c>
      <c r="F82" s="10">
        <v>1472</v>
      </c>
      <c r="H82" s="9" t="s">
        <v>459</v>
      </c>
      <c r="I82" s="6">
        <v>0.39478260869565218</v>
      </c>
    </row>
    <row r="83" spans="1:9" x14ac:dyDescent="0.25">
      <c r="A83" s="9" t="s">
        <v>306</v>
      </c>
      <c r="B83" s="6">
        <v>1.1098901098901099</v>
      </c>
      <c r="E83" s="9" t="s">
        <v>331</v>
      </c>
      <c r="F83" s="10">
        <v>1446</v>
      </c>
      <c r="H83" s="9" t="s">
        <v>263</v>
      </c>
      <c r="I83" s="6">
        <v>1.3890552681731554</v>
      </c>
    </row>
    <row r="84" spans="1:9" x14ac:dyDescent="0.25">
      <c r="A84" s="9" t="s">
        <v>324</v>
      </c>
      <c r="B84" s="6">
        <v>2.7264957264957266</v>
      </c>
      <c r="E84" s="9" t="s">
        <v>390</v>
      </c>
      <c r="F84" s="10">
        <v>1318</v>
      </c>
      <c r="H84" s="9" t="s">
        <v>536</v>
      </c>
      <c r="I84" s="6">
        <v>1.2321428571428572</v>
      </c>
    </row>
    <row r="85" spans="1:9" x14ac:dyDescent="0.25">
      <c r="A85" s="9" t="s">
        <v>291</v>
      </c>
      <c r="B85" s="6">
        <v>1.5621934908604547</v>
      </c>
      <c r="E85" s="9" t="s">
        <v>405</v>
      </c>
      <c r="F85" s="10">
        <v>925</v>
      </c>
      <c r="H85" s="9" t="s">
        <v>317</v>
      </c>
      <c r="I85" s="6">
        <v>1.2995433789954338</v>
      </c>
    </row>
    <row r="86" spans="1:9" x14ac:dyDescent="0.25">
      <c r="A86" s="9" t="s">
        <v>431</v>
      </c>
      <c r="B86" s="6">
        <v>1.6477272727272727</v>
      </c>
      <c r="E86" s="9" t="s">
        <v>402</v>
      </c>
      <c r="F86" s="10">
        <v>918</v>
      </c>
      <c r="H86" s="9" t="s">
        <v>365</v>
      </c>
      <c r="I86" s="6">
        <v>0.91609589041095896</v>
      </c>
    </row>
    <row r="87" spans="1:9" x14ac:dyDescent="0.25">
      <c r="A87" s="9" t="s">
        <v>412</v>
      </c>
      <c r="B87" s="6">
        <v>1.078616352201258</v>
      </c>
      <c r="E87" s="9" t="s">
        <v>327</v>
      </c>
      <c r="F87" s="10">
        <v>917</v>
      </c>
      <c r="H87" s="9" t="s">
        <v>551</v>
      </c>
      <c r="I87" s="6">
        <v>0.46666666666666667</v>
      </c>
    </row>
    <row r="88" spans="1:9" x14ac:dyDescent="0.25">
      <c r="A88" s="9" t="s">
        <v>255</v>
      </c>
      <c r="B88" s="6">
        <v>2.9186768741874909</v>
      </c>
      <c r="E88" s="9" t="s">
        <v>448</v>
      </c>
      <c r="F88" s="10">
        <v>807</v>
      </c>
      <c r="H88" s="9" t="s">
        <v>310</v>
      </c>
      <c r="I88" s="6">
        <v>2.4521857923497268</v>
      </c>
    </row>
    <row r="89" spans="1:9" x14ac:dyDescent="0.25">
      <c r="A89" s="9" t="s">
        <v>437</v>
      </c>
      <c r="B89" s="6">
        <v>0.94827586206896552</v>
      </c>
      <c r="E89" s="9" t="s">
        <v>435</v>
      </c>
      <c r="F89" s="10">
        <v>681</v>
      </c>
      <c r="H89" s="9" t="s">
        <v>491</v>
      </c>
      <c r="I89" s="6">
        <v>1.924731182795699</v>
      </c>
    </row>
    <row r="90" spans="1:9" x14ac:dyDescent="0.25">
      <c r="A90" s="9" t="s">
        <v>348</v>
      </c>
      <c r="B90" s="6">
        <v>3.5953757225433525</v>
      </c>
      <c r="E90" s="9" t="s">
        <v>471</v>
      </c>
      <c r="F90" s="10">
        <v>652</v>
      </c>
      <c r="H90" s="9" t="s">
        <v>313</v>
      </c>
      <c r="I90" s="6">
        <v>1.2141812865497077</v>
      </c>
    </row>
    <row r="91" spans="1:9" x14ac:dyDescent="0.25">
      <c r="A91" s="9" t="s">
        <v>445</v>
      </c>
      <c r="B91" s="6">
        <v>0.84935897435897434</v>
      </c>
      <c r="E91" s="9" t="s">
        <v>415</v>
      </c>
      <c r="F91" s="10">
        <v>608</v>
      </c>
      <c r="H91" s="9" t="s">
        <v>364</v>
      </c>
      <c r="I91" s="6">
        <v>1.4538043478260869</v>
      </c>
    </row>
    <row r="92" spans="1:9" x14ac:dyDescent="0.25">
      <c r="A92" s="9" t="s">
        <v>275</v>
      </c>
      <c r="B92" s="6">
        <v>1.3292682926829269</v>
      </c>
      <c r="E92" s="9" t="s">
        <v>360</v>
      </c>
      <c r="F92" s="10">
        <v>561</v>
      </c>
      <c r="H92" s="9" t="s">
        <v>483</v>
      </c>
      <c r="I92" s="6">
        <v>1.3405797101449275</v>
      </c>
    </row>
    <row r="93" spans="1:9" x14ac:dyDescent="0.25">
      <c r="A93" s="9" t="s">
        <v>325</v>
      </c>
      <c r="B93" s="6">
        <v>1.6493055555555556</v>
      </c>
      <c r="E93" s="9" t="s">
        <v>368</v>
      </c>
      <c r="F93" s="10">
        <v>517</v>
      </c>
      <c r="H93" s="9" t="s">
        <v>306</v>
      </c>
      <c r="I93" s="6">
        <v>1.1098901098901099</v>
      </c>
    </row>
    <row r="94" spans="1:9" x14ac:dyDescent="0.25">
      <c r="A94" s="9" t="s">
        <v>372</v>
      </c>
      <c r="B94" s="6">
        <v>1.8315018315018314</v>
      </c>
      <c r="E94" s="9" t="s">
        <v>375</v>
      </c>
      <c r="F94" s="10">
        <v>483</v>
      </c>
      <c r="H94" s="9" t="s">
        <v>324</v>
      </c>
      <c r="I94" s="6">
        <v>2.7264957264957266</v>
      </c>
    </row>
    <row r="95" spans="1:9" x14ac:dyDescent="0.25">
      <c r="A95" s="9" t="s">
        <v>512</v>
      </c>
      <c r="B95" s="6">
        <v>1.1118881118881119</v>
      </c>
      <c r="E95" s="9" t="s">
        <v>379</v>
      </c>
      <c r="F95" s="10">
        <v>461</v>
      </c>
      <c r="H95" s="9" t="s">
        <v>291</v>
      </c>
      <c r="I95" s="6">
        <v>1.5621934908604547</v>
      </c>
    </row>
    <row r="96" spans="1:9" x14ac:dyDescent="0.25">
      <c r="A96" s="9" t="s">
        <v>266</v>
      </c>
      <c r="B96" s="6">
        <v>1.6681476418318524</v>
      </c>
      <c r="E96" s="9" t="s">
        <v>486</v>
      </c>
      <c r="F96" s="10">
        <v>184</v>
      </c>
      <c r="H96" s="9" t="s">
        <v>431</v>
      </c>
      <c r="I96" s="6">
        <v>1.6477272727272727</v>
      </c>
    </row>
    <row r="97" spans="1:9" x14ac:dyDescent="0.25">
      <c r="A97" s="9" t="s">
        <v>299</v>
      </c>
      <c r="B97" s="6">
        <v>3.0795180722891566</v>
      </c>
      <c r="E97" s="9" t="s">
        <v>522</v>
      </c>
      <c r="F97" s="10">
        <v>149</v>
      </c>
      <c r="H97" s="9" t="s">
        <v>412</v>
      </c>
      <c r="I97" s="6">
        <v>1.078616352201258</v>
      </c>
    </row>
    <row r="98" spans="1:9" x14ac:dyDescent="0.25">
      <c r="A98" s="9" t="s">
        <v>353</v>
      </c>
      <c r="B98" s="6">
        <v>1.5606469002695418</v>
      </c>
      <c r="H98" s="9" t="s">
        <v>255</v>
      </c>
      <c r="I98" s="6">
        <v>2.9186768741874909</v>
      </c>
    </row>
    <row r="99" spans="1:9" x14ac:dyDescent="0.25">
      <c r="A99" s="9" t="s">
        <v>560</v>
      </c>
      <c r="B99" s="6">
        <v>42.750655781103447</v>
      </c>
      <c r="H99" s="9" t="s">
        <v>437</v>
      </c>
      <c r="I99" s="6">
        <v>0.94827586206896552</v>
      </c>
    </row>
    <row r="100" spans="1:9" x14ac:dyDescent="0.25">
      <c r="H100" s="9" t="s">
        <v>348</v>
      </c>
      <c r="I100" s="6">
        <v>3.5953757225433525</v>
      </c>
    </row>
    <row r="101" spans="1:9" x14ac:dyDescent="0.25">
      <c r="H101" s="9" t="s">
        <v>445</v>
      </c>
      <c r="I101" s="6">
        <v>0.84935897435897434</v>
      </c>
    </row>
    <row r="102" spans="1:9" x14ac:dyDescent="0.25">
      <c r="H102" s="9" t="s">
        <v>275</v>
      </c>
      <c r="I102" s="6">
        <v>1.3292682926829269</v>
      </c>
    </row>
    <row r="103" spans="1:9" x14ac:dyDescent="0.25">
      <c r="H103" s="9" t="s">
        <v>325</v>
      </c>
      <c r="I103" s="6">
        <v>1.6493055555555556</v>
      </c>
    </row>
    <row r="104" spans="1:9" x14ac:dyDescent="0.25">
      <c r="H104" s="9" t="s">
        <v>372</v>
      </c>
      <c r="I104" s="6">
        <v>1.8315018315018314</v>
      </c>
    </row>
    <row r="105" spans="1:9" x14ac:dyDescent="0.25">
      <c r="H105" s="9" t="s">
        <v>512</v>
      </c>
      <c r="I105" s="6">
        <v>1.1118881118881119</v>
      </c>
    </row>
    <row r="106" spans="1:9" x14ac:dyDescent="0.25">
      <c r="H106" s="9" t="s">
        <v>266</v>
      </c>
      <c r="I106" s="6">
        <v>1.6681476418318524</v>
      </c>
    </row>
    <row r="107" spans="1:9" x14ac:dyDescent="0.25">
      <c r="H107" s="9" t="s">
        <v>299</v>
      </c>
      <c r="I107" s="6">
        <v>3.0795180722891566</v>
      </c>
    </row>
    <row r="108" spans="1:9" x14ac:dyDescent="0.25">
      <c r="H108" s="9" t="s">
        <v>353</v>
      </c>
      <c r="I108" s="6">
        <v>1.5606469002695418</v>
      </c>
    </row>
    <row r="109" spans="1:9" x14ac:dyDescent="0.25">
      <c r="I109" s="6">
        <f>AVERAGE(I82:I108)</f>
        <v>1.5833576215223499</v>
      </c>
    </row>
    <row r="273" spans="2:3" x14ac:dyDescent="0.25">
      <c r="B273" t="s">
        <v>562</v>
      </c>
      <c r="C273" t="s">
        <v>563</v>
      </c>
    </row>
    <row r="274" spans="2:3" x14ac:dyDescent="0.25">
      <c r="B274">
        <v>131</v>
      </c>
      <c r="C274">
        <v>31</v>
      </c>
    </row>
    <row r="275" spans="2:3" x14ac:dyDescent="0.25">
      <c r="B275">
        <v>227</v>
      </c>
      <c r="C275">
        <v>575</v>
      </c>
    </row>
    <row r="276" spans="2:3" x14ac:dyDescent="0.25">
      <c r="B276">
        <v>153</v>
      </c>
      <c r="C276">
        <v>68</v>
      </c>
    </row>
    <row r="277" spans="2:3" x14ac:dyDescent="0.25">
      <c r="B277">
        <v>4085</v>
      </c>
      <c r="C277">
        <v>1665</v>
      </c>
    </row>
    <row r="278" spans="2:3" x14ac:dyDescent="0.25">
      <c r="B278">
        <v>3884</v>
      </c>
      <c r="C278">
        <v>3359</v>
      </c>
    </row>
    <row r="279" spans="2:3" x14ac:dyDescent="0.25">
      <c r="B279">
        <v>289</v>
      </c>
      <c r="C279">
        <v>170</v>
      </c>
    </row>
    <row r="280" spans="2:3" x14ac:dyDescent="0.25">
      <c r="B280">
        <v>559</v>
      </c>
      <c r="C280">
        <v>1288</v>
      </c>
    </row>
    <row r="281" spans="2:3" x14ac:dyDescent="0.25">
      <c r="B281">
        <v>252</v>
      </c>
      <c r="C281">
        <v>43</v>
      </c>
    </row>
    <row r="282" spans="2:3" x14ac:dyDescent="0.25">
      <c r="B282">
        <v>284</v>
      </c>
      <c r="C282">
        <v>128</v>
      </c>
    </row>
    <row r="283" spans="2:3" x14ac:dyDescent="0.25">
      <c r="B283">
        <v>615</v>
      </c>
      <c r="C283">
        <v>2524</v>
      </c>
    </row>
    <row r="284" spans="2:3" x14ac:dyDescent="0.25">
      <c r="B284">
        <v>171</v>
      </c>
      <c r="C284">
        <v>153</v>
      </c>
    </row>
    <row r="285" spans="2:3" x14ac:dyDescent="0.25">
      <c r="B285">
        <v>340</v>
      </c>
      <c r="C285">
        <v>71</v>
      </c>
    </row>
    <row r="286" spans="2:3" x14ac:dyDescent="0.25">
      <c r="B286">
        <v>338</v>
      </c>
      <c r="C286">
        <v>194</v>
      </c>
    </row>
    <row r="287" spans="2:3" x14ac:dyDescent="0.25">
      <c r="B287">
        <v>129</v>
      </c>
      <c r="C287">
        <v>240</v>
      </c>
    </row>
    <row r="288" spans="2:3" x14ac:dyDescent="0.25">
      <c r="B288">
        <v>170</v>
      </c>
      <c r="C288">
        <v>75</v>
      </c>
    </row>
    <row r="289" spans="2:3" x14ac:dyDescent="0.25">
      <c r="B289">
        <v>1161</v>
      </c>
      <c r="C289">
        <v>208</v>
      </c>
    </row>
    <row r="290" spans="2:3" x14ac:dyDescent="0.25">
      <c r="B290">
        <v>168</v>
      </c>
      <c r="C290">
        <v>42</v>
      </c>
    </row>
    <row r="291" spans="2:3" x14ac:dyDescent="0.25">
      <c r="B291">
        <v>336</v>
      </c>
      <c r="C291">
        <v>138</v>
      </c>
    </row>
    <row r="292" spans="2:3" x14ac:dyDescent="0.25">
      <c r="B292">
        <v>366</v>
      </c>
      <c r="C292">
        <v>313</v>
      </c>
    </row>
    <row r="293" spans="2:3" x14ac:dyDescent="0.25">
      <c r="B293">
        <v>795</v>
      </c>
      <c r="C293">
        <v>483</v>
      </c>
    </row>
    <row r="294" spans="2:3" x14ac:dyDescent="0.25">
      <c r="B294">
        <v>1331</v>
      </c>
      <c r="C294">
        <v>746</v>
      </c>
    </row>
    <row r="295" spans="2:3" x14ac:dyDescent="0.25">
      <c r="B295">
        <v>587</v>
      </c>
      <c r="C295">
        <v>197</v>
      </c>
    </row>
    <row r="296" spans="2:3" x14ac:dyDescent="0.25">
      <c r="B296">
        <v>501</v>
      </c>
      <c r="C296">
        <v>390</v>
      </c>
    </row>
    <row r="297" spans="2:3" x14ac:dyDescent="0.25">
      <c r="B297">
        <v>268</v>
      </c>
      <c r="C297">
        <v>281</v>
      </c>
    </row>
    <row r="298" spans="2:3" x14ac:dyDescent="0.25">
      <c r="B298">
        <v>217</v>
      </c>
      <c r="C298">
        <v>57</v>
      </c>
    </row>
    <row r="299" spans="2:3" x14ac:dyDescent="0.25">
      <c r="B299">
        <v>148</v>
      </c>
      <c r="C299">
        <v>210</v>
      </c>
    </row>
    <row r="300" spans="2:3" x14ac:dyDescent="0.25">
      <c r="B300">
        <v>181</v>
      </c>
      <c r="C300">
        <v>27</v>
      </c>
    </row>
    <row r="301" spans="2:3" x14ac:dyDescent="0.25">
      <c r="B301">
        <v>189</v>
      </c>
      <c r="C301">
        <v>76</v>
      </c>
    </row>
    <row r="302" spans="2:3" x14ac:dyDescent="0.25">
      <c r="B302">
        <v>3669</v>
      </c>
      <c r="C302">
        <v>1206</v>
      </c>
    </row>
    <row r="303" spans="2:3" x14ac:dyDescent="0.25">
      <c r="B303">
        <v>10204</v>
      </c>
      <c r="C303">
        <v>7346</v>
      </c>
    </row>
    <row r="304" spans="2:3" x14ac:dyDescent="0.25">
      <c r="B304">
        <v>138</v>
      </c>
      <c r="C304">
        <v>112</v>
      </c>
    </row>
    <row r="305" spans="2:3" x14ac:dyDescent="0.25">
      <c r="B305">
        <v>267</v>
      </c>
      <c r="C305">
        <v>126</v>
      </c>
    </row>
    <row r="306" spans="2:3" x14ac:dyDescent="0.25">
      <c r="B306">
        <v>621</v>
      </c>
      <c r="C306">
        <v>199</v>
      </c>
    </row>
    <row r="307" spans="2:3" x14ac:dyDescent="0.25">
      <c r="B307">
        <v>561</v>
      </c>
      <c r="C307">
        <v>540</v>
      </c>
    </row>
    <row r="308" spans="2:3" x14ac:dyDescent="0.25">
      <c r="B308">
        <v>306</v>
      </c>
      <c r="C308">
        <v>464</v>
      </c>
    </row>
    <row r="309" spans="2:3" x14ac:dyDescent="0.25">
      <c r="B309">
        <v>1423</v>
      </c>
      <c r="C309">
        <v>1095</v>
      </c>
    </row>
    <row r="310" spans="2:3" x14ac:dyDescent="0.25">
      <c r="B310">
        <v>653</v>
      </c>
      <c r="C310">
        <v>225</v>
      </c>
    </row>
    <row r="311" spans="2:3" x14ac:dyDescent="0.25">
      <c r="B311">
        <v>435</v>
      </c>
      <c r="C311">
        <v>540</v>
      </c>
    </row>
    <row r="312" spans="2:3" x14ac:dyDescent="0.25">
      <c r="B312">
        <v>535</v>
      </c>
      <c r="C312">
        <v>584</v>
      </c>
    </row>
    <row r="313" spans="2:3" x14ac:dyDescent="0.25">
      <c r="B313">
        <v>724</v>
      </c>
      <c r="C313">
        <v>175</v>
      </c>
    </row>
    <row r="314" spans="2:3" x14ac:dyDescent="0.25">
      <c r="B314">
        <v>153</v>
      </c>
      <c r="C314">
        <v>144</v>
      </c>
    </row>
    <row r="315" spans="2:3" x14ac:dyDescent="0.25">
      <c r="B315">
        <v>11320</v>
      </c>
      <c r="C315">
        <v>2470</v>
      </c>
    </row>
    <row r="316" spans="2:3" x14ac:dyDescent="0.25">
      <c r="B316">
        <v>3563</v>
      </c>
      <c r="C316">
        <v>1242</v>
      </c>
    </row>
    <row r="317" spans="2:3" x14ac:dyDescent="0.25">
      <c r="B317">
        <v>5509</v>
      </c>
      <c r="C317">
        <v>2584</v>
      </c>
    </row>
    <row r="318" spans="2:3" x14ac:dyDescent="0.25">
      <c r="B318">
        <v>381</v>
      </c>
      <c r="C318">
        <v>537</v>
      </c>
    </row>
    <row r="319" spans="2:3" x14ac:dyDescent="0.25">
      <c r="B319">
        <v>716</v>
      </c>
      <c r="C319">
        <v>1032</v>
      </c>
    </row>
    <row r="320" spans="2:3" x14ac:dyDescent="0.25">
      <c r="B320">
        <v>426</v>
      </c>
      <c r="C320">
        <v>100</v>
      </c>
    </row>
    <row r="321" spans="1:3" x14ac:dyDescent="0.25">
      <c r="B321">
        <v>410</v>
      </c>
      <c r="C321">
        <v>420</v>
      </c>
    </row>
    <row r="322" spans="1:3" x14ac:dyDescent="0.25">
      <c r="B322">
        <v>201</v>
      </c>
      <c r="C322">
        <v>956</v>
      </c>
    </row>
    <row r="323" spans="1:3" x14ac:dyDescent="0.25">
      <c r="A323" t="s">
        <v>495</v>
      </c>
      <c r="B323">
        <v>177</v>
      </c>
      <c r="C323">
        <v>35</v>
      </c>
    </row>
    <row r="324" spans="1:3" x14ac:dyDescent="0.25">
      <c r="A324" t="s">
        <v>401</v>
      </c>
      <c r="B324">
        <v>369</v>
      </c>
      <c r="C324">
        <v>895</v>
      </c>
    </row>
    <row r="325" spans="1:3" x14ac:dyDescent="0.25">
      <c r="A325" t="s">
        <v>551</v>
      </c>
      <c r="B325">
        <v>126</v>
      </c>
      <c r="C325">
        <v>270</v>
      </c>
    </row>
    <row r="326" spans="1:3" x14ac:dyDescent="0.25">
      <c r="A326" t="s">
        <v>416</v>
      </c>
      <c r="B326">
        <v>338</v>
      </c>
      <c r="C326">
        <v>41</v>
      </c>
    </row>
    <row r="327" spans="1:3" x14ac:dyDescent="0.25">
      <c r="A327" t="s">
        <v>410</v>
      </c>
      <c r="B327">
        <v>348</v>
      </c>
      <c r="C327">
        <v>175</v>
      </c>
    </row>
    <row r="328" spans="1:3" x14ac:dyDescent="0.25">
      <c r="A328" t="s">
        <v>545</v>
      </c>
      <c r="B328">
        <v>129</v>
      </c>
      <c r="C328">
        <v>93</v>
      </c>
    </row>
    <row r="329" spans="1:3" x14ac:dyDescent="0.25">
      <c r="A329" t="s">
        <v>302</v>
      </c>
      <c r="B329">
        <v>2482</v>
      </c>
      <c r="C329">
        <v>660</v>
      </c>
    </row>
    <row r="330" spans="1:3" x14ac:dyDescent="0.25">
      <c r="A330" t="s">
        <v>310</v>
      </c>
      <c r="B330">
        <v>1795</v>
      </c>
      <c r="C330">
        <v>732</v>
      </c>
    </row>
    <row r="331" spans="1:3" x14ac:dyDescent="0.25">
      <c r="A331" t="s">
        <v>286</v>
      </c>
      <c r="B331">
        <v>3760</v>
      </c>
      <c r="C331">
        <v>4381</v>
      </c>
    </row>
    <row r="332" spans="1:3" x14ac:dyDescent="0.25">
      <c r="A332" t="s">
        <v>356</v>
      </c>
      <c r="B332">
        <v>571</v>
      </c>
      <c r="C332">
        <v>132</v>
      </c>
    </row>
    <row r="333" spans="1:3" x14ac:dyDescent="0.25">
      <c r="A333" t="s">
        <v>541</v>
      </c>
      <c r="B333">
        <v>132</v>
      </c>
      <c r="C333">
        <v>415</v>
      </c>
    </row>
    <row r="334" spans="1:3" x14ac:dyDescent="0.25">
      <c r="A334" t="s">
        <v>468</v>
      </c>
      <c r="B334">
        <v>205</v>
      </c>
      <c r="C334">
        <v>16</v>
      </c>
    </row>
    <row r="335" spans="1:3" x14ac:dyDescent="0.25">
      <c r="A335" t="s">
        <v>333</v>
      </c>
      <c r="B335">
        <v>850</v>
      </c>
      <c r="C335">
        <v>596</v>
      </c>
    </row>
    <row r="336" spans="1:3" x14ac:dyDescent="0.25">
      <c r="A336" t="s">
        <v>296</v>
      </c>
      <c r="B336">
        <v>2691</v>
      </c>
      <c r="C336">
        <v>1558</v>
      </c>
    </row>
    <row r="337" spans="1:3" x14ac:dyDescent="0.25">
      <c r="A337" t="s">
        <v>406</v>
      </c>
      <c r="B337">
        <v>349</v>
      </c>
      <c r="C337">
        <v>497</v>
      </c>
    </row>
    <row r="338" spans="1:3" x14ac:dyDescent="0.25">
      <c r="A338" t="s">
        <v>268</v>
      </c>
      <c r="B338">
        <v>7044</v>
      </c>
      <c r="C338">
        <v>6126</v>
      </c>
    </row>
    <row r="339" spans="1:3" x14ac:dyDescent="0.25">
      <c r="A339" t="s">
        <v>492</v>
      </c>
      <c r="B339">
        <v>179</v>
      </c>
      <c r="C339">
        <v>165</v>
      </c>
    </row>
    <row r="340" spans="1:3" x14ac:dyDescent="0.25">
      <c r="A340" t="s">
        <v>526</v>
      </c>
      <c r="B340">
        <v>144</v>
      </c>
      <c r="C340">
        <v>34</v>
      </c>
    </row>
    <row r="341" spans="1:3" x14ac:dyDescent="0.25">
      <c r="A341" t="s">
        <v>267</v>
      </c>
      <c r="B341">
        <v>9228</v>
      </c>
      <c r="C341">
        <v>9630</v>
      </c>
    </row>
    <row r="342" spans="1:3" x14ac:dyDescent="0.25">
      <c r="A342" t="s">
        <v>358</v>
      </c>
      <c r="B342">
        <v>567</v>
      </c>
      <c r="C342">
        <v>369</v>
      </c>
    </row>
    <row r="343" spans="1:3" x14ac:dyDescent="0.25">
      <c r="A343" t="s">
        <v>518</v>
      </c>
      <c r="B343">
        <v>152</v>
      </c>
      <c r="C343">
        <v>63</v>
      </c>
    </row>
    <row r="344" spans="1:3" x14ac:dyDescent="0.25">
      <c r="A344" t="s">
        <v>527</v>
      </c>
      <c r="B344">
        <v>144</v>
      </c>
      <c r="C344">
        <v>21</v>
      </c>
    </row>
    <row r="345" spans="1:3" x14ac:dyDescent="0.25">
      <c r="A345" t="s">
        <v>367</v>
      </c>
      <c r="B345">
        <v>517</v>
      </c>
      <c r="C345">
        <v>710</v>
      </c>
    </row>
    <row r="346" spans="1:3" x14ac:dyDescent="0.25">
      <c r="A346" t="s">
        <v>329</v>
      </c>
      <c r="B346">
        <v>894</v>
      </c>
      <c r="C346">
        <v>482</v>
      </c>
    </row>
    <row r="347" spans="1:3" x14ac:dyDescent="0.25">
      <c r="A347" t="s">
        <v>423</v>
      </c>
      <c r="B347">
        <v>329</v>
      </c>
      <c r="C347">
        <v>128</v>
      </c>
    </row>
    <row r="348" spans="1:3" x14ac:dyDescent="0.25">
      <c r="A348" t="s">
        <v>491</v>
      </c>
      <c r="B348">
        <v>179</v>
      </c>
      <c r="C348">
        <v>93</v>
      </c>
    </row>
    <row r="349" spans="1:3" x14ac:dyDescent="0.25">
      <c r="A349" t="s">
        <v>456</v>
      </c>
      <c r="B349">
        <v>238</v>
      </c>
      <c r="C349">
        <v>215</v>
      </c>
    </row>
    <row r="350" spans="1:3" x14ac:dyDescent="0.25">
      <c r="A350" t="s">
        <v>476</v>
      </c>
      <c r="B350">
        <v>192</v>
      </c>
      <c r="C350">
        <v>51</v>
      </c>
    </row>
    <row r="351" spans="1:3" x14ac:dyDescent="0.25">
      <c r="A351" t="s">
        <v>334</v>
      </c>
      <c r="B351">
        <v>832</v>
      </c>
      <c r="C351">
        <v>1155</v>
      </c>
    </row>
    <row r="352" spans="1:3" x14ac:dyDescent="0.25">
      <c r="A352" t="s">
        <v>362</v>
      </c>
      <c r="B352">
        <v>558</v>
      </c>
      <c r="C352">
        <v>368</v>
      </c>
    </row>
    <row r="353" spans="1:3" x14ac:dyDescent="0.25">
      <c r="A353" t="s">
        <v>313</v>
      </c>
      <c r="B353">
        <v>1661</v>
      </c>
      <c r="C353">
        <v>1368</v>
      </c>
    </row>
    <row r="354" spans="1:3" x14ac:dyDescent="0.25">
      <c r="A354" t="s">
        <v>429</v>
      </c>
      <c r="B354">
        <v>307</v>
      </c>
      <c r="C354">
        <v>68</v>
      </c>
    </row>
    <row r="355" spans="1:3" x14ac:dyDescent="0.25">
      <c r="A355" t="s">
        <v>425</v>
      </c>
      <c r="B355">
        <v>326</v>
      </c>
      <c r="C355">
        <v>43</v>
      </c>
    </row>
    <row r="356" spans="1:3" x14ac:dyDescent="0.25">
      <c r="A356" t="s">
        <v>364</v>
      </c>
      <c r="B356">
        <v>535</v>
      </c>
      <c r="C356">
        <v>368</v>
      </c>
    </row>
    <row r="357" spans="1:3" x14ac:dyDescent="0.25">
      <c r="A357" t="s">
        <v>467</v>
      </c>
      <c r="B357">
        <v>210</v>
      </c>
      <c r="C357">
        <v>160</v>
      </c>
    </row>
    <row r="358" spans="1:3" x14ac:dyDescent="0.25">
      <c r="A358" t="s">
        <v>483</v>
      </c>
      <c r="B358">
        <v>185</v>
      </c>
      <c r="C358">
        <v>138</v>
      </c>
    </row>
    <row r="359" spans="1:3" x14ac:dyDescent="0.25">
      <c r="A359" t="s">
        <v>461</v>
      </c>
      <c r="B359">
        <v>225</v>
      </c>
      <c r="C359">
        <v>152</v>
      </c>
    </row>
    <row r="360" spans="1:3" x14ac:dyDescent="0.25">
      <c r="A360" t="s">
        <v>498</v>
      </c>
      <c r="B360">
        <v>173</v>
      </c>
      <c r="C360">
        <v>70</v>
      </c>
    </row>
    <row r="361" spans="1:3" x14ac:dyDescent="0.25">
      <c r="A361" t="s">
        <v>452</v>
      </c>
      <c r="B361">
        <v>250</v>
      </c>
      <c r="C361">
        <v>569</v>
      </c>
    </row>
    <row r="362" spans="1:3" x14ac:dyDescent="0.25">
      <c r="A362" t="s">
        <v>487</v>
      </c>
      <c r="B362">
        <v>183</v>
      </c>
      <c r="C362">
        <v>184</v>
      </c>
    </row>
    <row r="363" spans="1:3" x14ac:dyDescent="0.25">
      <c r="A363" t="s">
        <v>311</v>
      </c>
      <c r="B363">
        <v>1746</v>
      </c>
      <c r="C363">
        <v>483</v>
      </c>
    </row>
    <row r="364" spans="1:3" x14ac:dyDescent="0.25">
      <c r="A364" t="s">
        <v>514</v>
      </c>
      <c r="B364">
        <v>157</v>
      </c>
      <c r="C364">
        <v>13</v>
      </c>
    </row>
    <row r="365" spans="1:3" x14ac:dyDescent="0.25">
      <c r="A365" t="s">
        <v>534</v>
      </c>
      <c r="B365">
        <v>142</v>
      </c>
      <c r="C365">
        <v>368</v>
      </c>
    </row>
    <row r="366" spans="1:3" x14ac:dyDescent="0.25">
      <c r="A366" t="s">
        <v>509</v>
      </c>
      <c r="B366">
        <v>162</v>
      </c>
      <c r="C366">
        <v>182</v>
      </c>
    </row>
    <row r="367" spans="1:3" x14ac:dyDescent="0.25">
      <c r="A367" t="s">
        <v>547</v>
      </c>
      <c r="B367">
        <v>129</v>
      </c>
      <c r="C367">
        <v>52</v>
      </c>
    </row>
    <row r="368" spans="1:3" x14ac:dyDescent="0.25">
      <c r="A368" t="s">
        <v>481</v>
      </c>
      <c r="B368">
        <v>187</v>
      </c>
      <c r="C368">
        <v>40</v>
      </c>
    </row>
    <row r="369" spans="1:3" x14ac:dyDescent="0.25">
      <c r="A369" t="s">
        <v>306</v>
      </c>
      <c r="B369">
        <v>2020</v>
      </c>
      <c r="C369">
        <v>1820</v>
      </c>
    </row>
    <row r="370" spans="1:3" x14ac:dyDescent="0.25">
      <c r="A370" t="s">
        <v>332</v>
      </c>
      <c r="B370">
        <v>858</v>
      </c>
      <c r="C370">
        <v>341</v>
      </c>
    </row>
    <row r="371" spans="1:3" x14ac:dyDescent="0.25">
      <c r="A371" t="s">
        <v>532</v>
      </c>
      <c r="B371">
        <v>143</v>
      </c>
      <c r="C371">
        <v>45</v>
      </c>
    </row>
    <row r="372" spans="1:3" x14ac:dyDescent="0.25">
      <c r="A372" t="s">
        <v>453</v>
      </c>
      <c r="B372">
        <v>247</v>
      </c>
      <c r="C372">
        <v>342</v>
      </c>
    </row>
    <row r="373" spans="1:3" x14ac:dyDescent="0.25">
      <c r="A373" t="s">
        <v>383</v>
      </c>
      <c r="B373">
        <v>439</v>
      </c>
      <c r="C373">
        <v>537</v>
      </c>
    </row>
    <row r="374" spans="1:3" x14ac:dyDescent="0.25">
      <c r="A374" t="s">
        <v>519</v>
      </c>
      <c r="B374">
        <v>151</v>
      </c>
      <c r="C374">
        <v>56</v>
      </c>
    </row>
    <row r="375" spans="1:3" x14ac:dyDescent="0.25">
      <c r="A375" t="s">
        <v>292</v>
      </c>
      <c r="B375">
        <v>3266</v>
      </c>
      <c r="C375">
        <v>1710</v>
      </c>
    </row>
    <row r="376" spans="1:3" x14ac:dyDescent="0.25">
      <c r="A376" t="s">
        <v>324</v>
      </c>
      <c r="B376">
        <v>957</v>
      </c>
      <c r="C376">
        <v>351</v>
      </c>
    </row>
    <row r="377" spans="1:3" x14ac:dyDescent="0.25">
      <c r="A377" t="s">
        <v>499</v>
      </c>
      <c r="B377">
        <v>173</v>
      </c>
      <c r="C377">
        <v>56</v>
      </c>
    </row>
    <row r="378" spans="1:3" x14ac:dyDescent="0.25">
      <c r="A378" t="s">
        <v>473</v>
      </c>
      <c r="B378">
        <v>195</v>
      </c>
      <c r="C378">
        <v>34</v>
      </c>
    </row>
    <row r="379" spans="1:3" x14ac:dyDescent="0.25">
      <c r="A379" t="s">
        <v>291</v>
      </c>
      <c r="B379">
        <v>3504</v>
      </c>
      <c r="C379">
        <v>2243</v>
      </c>
    </row>
    <row r="380" spans="1:3" x14ac:dyDescent="0.25">
      <c r="A380" t="s">
        <v>431</v>
      </c>
      <c r="B380">
        <v>290</v>
      </c>
      <c r="C380">
        <v>176</v>
      </c>
    </row>
    <row r="381" spans="1:3" x14ac:dyDescent="0.25">
      <c r="A381" t="s">
        <v>369</v>
      </c>
      <c r="B381">
        <v>514</v>
      </c>
      <c r="C381">
        <v>767</v>
      </c>
    </row>
    <row r="382" spans="1:3" x14ac:dyDescent="0.25">
      <c r="A382" t="s">
        <v>346</v>
      </c>
      <c r="B382">
        <v>647</v>
      </c>
      <c r="C382">
        <v>283</v>
      </c>
    </row>
    <row r="383" spans="1:3" x14ac:dyDescent="0.25">
      <c r="A383" t="s">
        <v>320</v>
      </c>
      <c r="B383">
        <v>1340</v>
      </c>
      <c r="C383">
        <v>1667</v>
      </c>
    </row>
    <row r="384" spans="1:3" x14ac:dyDescent="0.25">
      <c r="A384" t="s">
        <v>422</v>
      </c>
      <c r="B384">
        <v>331</v>
      </c>
      <c r="C384">
        <v>383</v>
      </c>
    </row>
    <row r="385" spans="1:3" x14ac:dyDescent="0.25">
      <c r="A385" t="s">
        <v>304</v>
      </c>
      <c r="B385">
        <v>2105</v>
      </c>
      <c r="C385">
        <v>2787</v>
      </c>
    </row>
    <row r="386" spans="1:3" x14ac:dyDescent="0.25">
      <c r="A386" t="s">
        <v>506</v>
      </c>
      <c r="B386">
        <v>166</v>
      </c>
      <c r="C386">
        <v>53</v>
      </c>
    </row>
    <row r="387" spans="1:3" x14ac:dyDescent="0.25">
      <c r="A387" t="s">
        <v>482</v>
      </c>
      <c r="B387">
        <v>186</v>
      </c>
      <c r="C387">
        <v>155</v>
      </c>
    </row>
    <row r="388" spans="1:3" x14ac:dyDescent="0.25">
      <c r="A388" t="s">
        <v>552</v>
      </c>
      <c r="B388">
        <v>126</v>
      </c>
      <c r="C388">
        <v>40</v>
      </c>
    </row>
    <row r="389" spans="1:3" x14ac:dyDescent="0.25">
      <c r="A389" t="s">
        <v>276</v>
      </c>
      <c r="B389">
        <v>4546</v>
      </c>
      <c r="C389">
        <v>4065</v>
      </c>
    </row>
    <row r="390" spans="1:3" x14ac:dyDescent="0.25">
      <c r="A390" t="s">
        <v>330</v>
      </c>
      <c r="B390">
        <v>887</v>
      </c>
      <c r="C390">
        <v>364</v>
      </c>
    </row>
    <row r="391" spans="1:3" x14ac:dyDescent="0.25">
      <c r="A391" t="s">
        <v>412</v>
      </c>
      <c r="B391">
        <v>343</v>
      </c>
      <c r="C391">
        <v>318</v>
      </c>
    </row>
    <row r="392" spans="1:3" x14ac:dyDescent="0.25">
      <c r="A392" t="s">
        <v>546</v>
      </c>
      <c r="B392">
        <v>129</v>
      </c>
      <c r="C392">
        <v>195</v>
      </c>
    </row>
    <row r="393" spans="1:3" x14ac:dyDescent="0.25">
      <c r="A393" t="s">
        <v>497</v>
      </c>
      <c r="B393">
        <v>174</v>
      </c>
      <c r="C393">
        <v>87</v>
      </c>
    </row>
    <row r="394" spans="1:3" x14ac:dyDescent="0.25">
      <c r="A394" t="s">
        <v>507</v>
      </c>
      <c r="B394">
        <v>164</v>
      </c>
      <c r="C394">
        <v>66</v>
      </c>
    </row>
    <row r="395" spans="1:3" x14ac:dyDescent="0.25">
      <c r="A395" t="s">
        <v>465</v>
      </c>
      <c r="B395">
        <v>213</v>
      </c>
      <c r="C395">
        <v>36</v>
      </c>
    </row>
    <row r="396" spans="1:3" x14ac:dyDescent="0.25">
      <c r="A396" t="s">
        <v>477</v>
      </c>
      <c r="B396">
        <v>192</v>
      </c>
      <c r="C396">
        <v>94</v>
      </c>
    </row>
    <row r="397" spans="1:3" x14ac:dyDescent="0.25">
      <c r="A397" t="s">
        <v>511</v>
      </c>
      <c r="B397">
        <v>161</v>
      </c>
      <c r="C397">
        <v>129</v>
      </c>
    </row>
    <row r="398" spans="1:3" x14ac:dyDescent="0.25">
      <c r="A398" t="s">
        <v>458</v>
      </c>
      <c r="B398">
        <v>227</v>
      </c>
      <c r="C398">
        <v>34</v>
      </c>
    </row>
    <row r="399" spans="1:3" x14ac:dyDescent="0.25">
      <c r="A399" t="s">
        <v>285</v>
      </c>
      <c r="B399">
        <v>3811</v>
      </c>
      <c r="C399">
        <v>4237</v>
      </c>
    </row>
    <row r="400" spans="1:3" x14ac:dyDescent="0.25">
      <c r="A400" t="s">
        <v>373</v>
      </c>
      <c r="B400">
        <v>496</v>
      </c>
      <c r="C400">
        <v>204</v>
      </c>
    </row>
    <row r="401" spans="1:3" x14ac:dyDescent="0.25">
      <c r="A401" t="s">
        <v>395</v>
      </c>
      <c r="B401">
        <v>404</v>
      </c>
      <c r="C401">
        <v>850</v>
      </c>
    </row>
    <row r="402" spans="1:3" x14ac:dyDescent="0.25">
      <c r="A402" t="s">
        <v>309</v>
      </c>
      <c r="B402">
        <v>1867</v>
      </c>
      <c r="C402">
        <v>530</v>
      </c>
    </row>
    <row r="403" spans="1:3" x14ac:dyDescent="0.25">
      <c r="A403" t="s">
        <v>474</v>
      </c>
      <c r="B403">
        <v>195</v>
      </c>
      <c r="C403">
        <v>79</v>
      </c>
    </row>
    <row r="404" spans="1:3" x14ac:dyDescent="0.25">
      <c r="A404" t="s">
        <v>550</v>
      </c>
      <c r="B404">
        <v>127</v>
      </c>
      <c r="C404">
        <v>25</v>
      </c>
    </row>
    <row r="405" spans="1:3" x14ac:dyDescent="0.25">
      <c r="A405" t="s">
        <v>391</v>
      </c>
      <c r="B405">
        <v>417</v>
      </c>
      <c r="C405">
        <v>53</v>
      </c>
    </row>
    <row r="406" spans="1:3" x14ac:dyDescent="0.25">
      <c r="A406" t="s">
        <v>347</v>
      </c>
      <c r="B406">
        <v>628</v>
      </c>
      <c r="C406">
        <v>915</v>
      </c>
    </row>
    <row r="407" spans="1:3" x14ac:dyDescent="0.25">
      <c r="A407" t="s">
        <v>454</v>
      </c>
      <c r="B407">
        <v>242</v>
      </c>
      <c r="C407">
        <v>18</v>
      </c>
    </row>
    <row r="408" spans="1:3" x14ac:dyDescent="0.25">
      <c r="A408" t="s">
        <v>339</v>
      </c>
      <c r="B408">
        <v>725</v>
      </c>
      <c r="C408">
        <v>460</v>
      </c>
    </row>
    <row r="409" spans="1:3" x14ac:dyDescent="0.25">
      <c r="A409" t="s">
        <v>513</v>
      </c>
      <c r="B409">
        <v>157</v>
      </c>
      <c r="C409">
        <v>35</v>
      </c>
    </row>
    <row r="410" spans="1:3" x14ac:dyDescent="0.25">
      <c r="A410" t="s">
        <v>255</v>
      </c>
      <c r="B410">
        <v>40412</v>
      </c>
      <c r="C410">
        <v>13846</v>
      </c>
    </row>
    <row r="411" spans="1:3" x14ac:dyDescent="0.25">
      <c r="A411" t="s">
        <v>377</v>
      </c>
      <c r="B411">
        <v>461</v>
      </c>
      <c r="C411">
        <v>187</v>
      </c>
    </row>
    <row r="412" spans="1:3" x14ac:dyDescent="0.25">
      <c r="A412" t="s">
        <v>523</v>
      </c>
      <c r="B412">
        <v>149</v>
      </c>
      <c r="C412">
        <v>416</v>
      </c>
    </row>
    <row r="413" spans="1:3" x14ac:dyDescent="0.25">
      <c r="A413" t="s">
        <v>502</v>
      </c>
      <c r="B413">
        <v>171</v>
      </c>
      <c r="C413">
        <v>69</v>
      </c>
    </row>
    <row r="414" spans="1:3" x14ac:dyDescent="0.25">
      <c r="A414" t="s">
        <v>381</v>
      </c>
      <c r="B414">
        <v>446</v>
      </c>
      <c r="C414">
        <v>98</v>
      </c>
    </row>
    <row r="415" spans="1:3" x14ac:dyDescent="0.25">
      <c r="A415" t="s">
        <v>500</v>
      </c>
      <c r="B415">
        <v>172</v>
      </c>
      <c r="C415">
        <v>77</v>
      </c>
    </row>
    <row r="416" spans="1:3" x14ac:dyDescent="0.25">
      <c r="A416" t="s">
        <v>537</v>
      </c>
      <c r="B416">
        <v>136</v>
      </c>
      <c r="C416">
        <v>90</v>
      </c>
    </row>
    <row r="417" spans="1:3" x14ac:dyDescent="0.25">
      <c r="A417" t="s">
        <v>374</v>
      </c>
      <c r="B417">
        <v>483</v>
      </c>
      <c r="C417">
        <v>467</v>
      </c>
    </row>
    <row r="418" spans="1:3" x14ac:dyDescent="0.25">
      <c r="A418" t="s">
        <v>336</v>
      </c>
      <c r="B418">
        <v>749</v>
      </c>
      <c r="C418">
        <v>730</v>
      </c>
    </row>
    <row r="419" spans="1:3" x14ac:dyDescent="0.25">
      <c r="A419" t="s">
        <v>444</v>
      </c>
      <c r="B419">
        <v>266</v>
      </c>
      <c r="C419">
        <v>63</v>
      </c>
    </row>
    <row r="420" spans="1:3" x14ac:dyDescent="0.25">
      <c r="A420" t="s">
        <v>488</v>
      </c>
      <c r="B420">
        <v>181</v>
      </c>
      <c r="C420">
        <v>215</v>
      </c>
    </row>
    <row r="421" spans="1:3" x14ac:dyDescent="0.25">
      <c r="A421" t="s">
        <v>460</v>
      </c>
      <c r="B421">
        <v>227</v>
      </c>
      <c r="C421">
        <v>121</v>
      </c>
    </row>
    <row r="422" spans="1:3" x14ac:dyDescent="0.25">
      <c r="A422" t="s">
        <v>426</v>
      </c>
      <c r="B422">
        <v>324</v>
      </c>
      <c r="C422">
        <v>108</v>
      </c>
    </row>
    <row r="423" spans="1:3" x14ac:dyDescent="0.25">
      <c r="A423" t="s">
        <v>535</v>
      </c>
      <c r="B423">
        <v>139</v>
      </c>
      <c r="C423">
        <v>17</v>
      </c>
    </row>
    <row r="424" spans="1:3" x14ac:dyDescent="0.25">
      <c r="A424" t="s">
        <v>366</v>
      </c>
      <c r="B424">
        <v>533</v>
      </c>
      <c r="C424">
        <v>457</v>
      </c>
    </row>
    <row r="425" spans="1:3" x14ac:dyDescent="0.25">
      <c r="A425" t="s">
        <v>529</v>
      </c>
      <c r="B425">
        <v>144</v>
      </c>
      <c r="C425">
        <v>16</v>
      </c>
    </row>
    <row r="426" spans="1:3" x14ac:dyDescent="0.25">
      <c r="A426" t="s">
        <v>387</v>
      </c>
      <c r="B426">
        <v>426</v>
      </c>
      <c r="C426">
        <v>196</v>
      </c>
    </row>
    <row r="427" spans="1:3" x14ac:dyDescent="0.25">
      <c r="A427" t="s">
        <v>436</v>
      </c>
      <c r="B427">
        <v>275</v>
      </c>
      <c r="C427">
        <v>109</v>
      </c>
    </row>
    <row r="428" spans="1:3" x14ac:dyDescent="0.25">
      <c r="A428" t="s">
        <v>533</v>
      </c>
      <c r="B428">
        <v>142</v>
      </c>
      <c r="C428">
        <v>49</v>
      </c>
    </row>
    <row r="429" spans="1:3" x14ac:dyDescent="0.25">
      <c r="A429" t="s">
        <v>277</v>
      </c>
      <c r="B429">
        <v>4287</v>
      </c>
      <c r="C429">
        <v>866</v>
      </c>
    </row>
    <row r="430" spans="1:3" x14ac:dyDescent="0.25">
      <c r="A430" t="s">
        <v>424</v>
      </c>
      <c r="B430">
        <v>327</v>
      </c>
      <c r="C430">
        <v>136</v>
      </c>
    </row>
    <row r="431" spans="1:3" x14ac:dyDescent="0.25">
      <c r="A431" t="s">
        <v>298</v>
      </c>
      <c r="B431">
        <v>2635</v>
      </c>
      <c r="C431">
        <v>724</v>
      </c>
    </row>
    <row r="432" spans="1:3" x14ac:dyDescent="0.25">
      <c r="A432" t="s">
        <v>326</v>
      </c>
      <c r="B432">
        <v>917</v>
      </c>
      <c r="C432">
        <v>221</v>
      </c>
    </row>
    <row r="433" spans="1:3" x14ac:dyDescent="0.25">
      <c r="A433" t="s">
        <v>281</v>
      </c>
      <c r="B433">
        <v>3946</v>
      </c>
      <c r="C433">
        <v>2209</v>
      </c>
    </row>
    <row r="434" spans="1:3" x14ac:dyDescent="0.25">
      <c r="A434" t="s">
        <v>270</v>
      </c>
      <c r="B434">
        <v>5890</v>
      </c>
      <c r="C434">
        <v>2160</v>
      </c>
    </row>
    <row r="435" spans="1:3" x14ac:dyDescent="0.25">
      <c r="A435" t="s">
        <v>297</v>
      </c>
      <c r="B435">
        <v>2638</v>
      </c>
      <c r="C435">
        <v>3142</v>
      </c>
    </row>
    <row r="436" spans="1:3" x14ac:dyDescent="0.25">
      <c r="A436" t="s">
        <v>337</v>
      </c>
      <c r="B436">
        <v>748</v>
      </c>
      <c r="C436">
        <v>1329</v>
      </c>
    </row>
    <row r="437" spans="1:3" x14ac:dyDescent="0.25">
      <c r="A437" t="s">
        <v>440</v>
      </c>
      <c r="B437">
        <v>269</v>
      </c>
      <c r="C437">
        <v>40</v>
      </c>
    </row>
    <row r="438" spans="1:3" x14ac:dyDescent="0.25">
      <c r="A438" t="s">
        <v>530</v>
      </c>
      <c r="B438">
        <v>143</v>
      </c>
      <c r="C438">
        <v>25</v>
      </c>
    </row>
    <row r="439" spans="1:3" x14ac:dyDescent="0.25">
      <c r="A439" t="s">
        <v>517</v>
      </c>
      <c r="B439">
        <v>152</v>
      </c>
      <c r="C439">
        <v>81</v>
      </c>
    </row>
    <row r="440" spans="1:3" x14ac:dyDescent="0.25">
      <c r="A440" t="s">
        <v>549</v>
      </c>
      <c r="B440">
        <v>127</v>
      </c>
      <c r="C440">
        <v>56</v>
      </c>
    </row>
    <row r="441" spans="1:3" x14ac:dyDescent="0.25">
      <c r="A441" t="s">
        <v>404</v>
      </c>
      <c r="B441">
        <v>357</v>
      </c>
      <c r="C441">
        <v>423</v>
      </c>
    </row>
    <row r="442" spans="1:3" x14ac:dyDescent="0.25">
      <c r="A442" t="s">
        <v>442</v>
      </c>
      <c r="B442">
        <v>268</v>
      </c>
      <c r="C442">
        <v>150</v>
      </c>
    </row>
    <row r="443" spans="1:3" x14ac:dyDescent="0.25">
      <c r="A443" t="s">
        <v>469</v>
      </c>
      <c r="B443">
        <v>201</v>
      </c>
      <c r="C443">
        <v>306</v>
      </c>
    </row>
    <row r="444" spans="1:3" x14ac:dyDescent="0.25">
      <c r="A444" t="s">
        <v>363</v>
      </c>
      <c r="B444">
        <v>541</v>
      </c>
      <c r="C444">
        <v>309</v>
      </c>
    </row>
    <row r="445" spans="1:3" x14ac:dyDescent="0.25">
      <c r="A445" t="s">
        <v>272</v>
      </c>
      <c r="B445">
        <v>5558</v>
      </c>
      <c r="C445">
        <v>7306</v>
      </c>
    </row>
    <row r="446" spans="1:3" x14ac:dyDescent="0.25">
      <c r="A446" t="s">
        <v>439</v>
      </c>
      <c r="B446">
        <v>269</v>
      </c>
      <c r="C446">
        <v>212</v>
      </c>
    </row>
    <row r="447" spans="1:3" x14ac:dyDescent="0.25">
      <c r="A447" t="s">
        <v>531</v>
      </c>
      <c r="B447">
        <v>143</v>
      </c>
      <c r="C447">
        <v>78</v>
      </c>
    </row>
    <row r="448" spans="1:3" x14ac:dyDescent="0.25">
      <c r="A448" t="s">
        <v>389</v>
      </c>
      <c r="B448">
        <v>425</v>
      </c>
      <c r="C448">
        <v>174</v>
      </c>
    </row>
    <row r="449" spans="1:3" x14ac:dyDescent="0.25">
      <c r="A449" t="s">
        <v>284</v>
      </c>
      <c r="B449">
        <v>3812</v>
      </c>
      <c r="C449">
        <v>2476</v>
      </c>
    </row>
    <row r="450" spans="1:3" x14ac:dyDescent="0.25">
      <c r="A450" t="s">
        <v>370</v>
      </c>
      <c r="B450">
        <v>505</v>
      </c>
      <c r="C450">
        <v>62</v>
      </c>
    </row>
    <row r="451" spans="1:3" x14ac:dyDescent="0.25">
      <c r="A451" t="s">
        <v>382</v>
      </c>
      <c r="B451">
        <v>446</v>
      </c>
      <c r="C451">
        <v>471</v>
      </c>
    </row>
    <row r="452" spans="1:3" x14ac:dyDescent="0.25">
      <c r="A452" t="s">
        <v>451</v>
      </c>
      <c r="B452">
        <v>252</v>
      </c>
      <c r="C452">
        <v>95</v>
      </c>
    </row>
    <row r="453" spans="1:3" x14ac:dyDescent="0.25">
      <c r="A453" t="s">
        <v>328</v>
      </c>
      <c r="B453">
        <v>901</v>
      </c>
      <c r="C453">
        <v>730</v>
      </c>
    </row>
    <row r="454" spans="1:3" x14ac:dyDescent="0.25">
      <c r="A454" t="s">
        <v>548</v>
      </c>
      <c r="B454">
        <v>129</v>
      </c>
      <c r="C454">
        <v>18</v>
      </c>
    </row>
    <row r="455" spans="1:3" x14ac:dyDescent="0.25">
      <c r="A455" t="s">
        <v>316</v>
      </c>
      <c r="B455">
        <v>1466</v>
      </c>
      <c r="C455">
        <v>457</v>
      </c>
    </row>
    <row r="456" spans="1:3" x14ac:dyDescent="0.25">
      <c r="A456" t="s">
        <v>437</v>
      </c>
      <c r="B456">
        <v>275</v>
      </c>
      <c r="C456">
        <v>290</v>
      </c>
    </row>
    <row r="457" spans="1:3" x14ac:dyDescent="0.25">
      <c r="A457" t="s">
        <v>300</v>
      </c>
      <c r="B457">
        <v>2490</v>
      </c>
      <c r="C457">
        <v>679</v>
      </c>
    </row>
    <row r="458" spans="1:3" x14ac:dyDescent="0.25">
      <c r="A458" t="s">
        <v>315</v>
      </c>
      <c r="B458">
        <v>1548</v>
      </c>
      <c r="C458">
        <v>556</v>
      </c>
    </row>
    <row r="459" spans="1:3" x14ac:dyDescent="0.25">
      <c r="A459" t="s">
        <v>463</v>
      </c>
      <c r="B459">
        <v>218</v>
      </c>
      <c r="C459">
        <v>85</v>
      </c>
    </row>
    <row r="460" spans="1:3" x14ac:dyDescent="0.25">
      <c r="A460" t="s">
        <v>508</v>
      </c>
      <c r="B460">
        <v>163</v>
      </c>
      <c r="C460">
        <v>42</v>
      </c>
    </row>
    <row r="461" spans="1:3" x14ac:dyDescent="0.25">
      <c r="A461" t="s">
        <v>380</v>
      </c>
      <c r="B461">
        <v>450</v>
      </c>
      <c r="C461">
        <v>435</v>
      </c>
    </row>
    <row r="462" spans="1:3" x14ac:dyDescent="0.25">
      <c r="A462" t="s">
        <v>457</v>
      </c>
      <c r="B462">
        <v>232</v>
      </c>
      <c r="C462">
        <v>197</v>
      </c>
    </row>
    <row r="463" spans="1:3" x14ac:dyDescent="0.25">
      <c r="A463" t="s">
        <v>338</v>
      </c>
      <c r="B463">
        <v>731</v>
      </c>
      <c r="C463">
        <v>451</v>
      </c>
    </row>
    <row r="464" spans="1:3" x14ac:dyDescent="0.25">
      <c r="A464" t="s">
        <v>343</v>
      </c>
      <c r="B464">
        <v>703</v>
      </c>
      <c r="C464">
        <v>135</v>
      </c>
    </row>
    <row r="465" spans="1:3" x14ac:dyDescent="0.25">
      <c r="A465" t="s">
        <v>397</v>
      </c>
      <c r="B465">
        <v>402</v>
      </c>
      <c r="C465">
        <v>88</v>
      </c>
    </row>
    <row r="466" spans="1:3" x14ac:dyDescent="0.25">
      <c r="A466" t="s">
        <v>434</v>
      </c>
      <c r="B466">
        <v>281</v>
      </c>
      <c r="C466">
        <v>224</v>
      </c>
    </row>
    <row r="467" spans="1:3" x14ac:dyDescent="0.25">
      <c r="A467" t="s">
        <v>462</v>
      </c>
      <c r="B467">
        <v>218</v>
      </c>
      <c r="C467">
        <v>300</v>
      </c>
    </row>
    <row r="468" spans="1:3" x14ac:dyDescent="0.25">
      <c r="A468" t="s">
        <v>421</v>
      </c>
      <c r="B468">
        <v>335</v>
      </c>
      <c r="C468">
        <v>373</v>
      </c>
    </row>
    <row r="469" spans="1:3" x14ac:dyDescent="0.25">
      <c r="A469" t="s">
        <v>449</v>
      </c>
      <c r="B469">
        <v>253</v>
      </c>
      <c r="C469">
        <v>44</v>
      </c>
    </row>
    <row r="470" spans="1:3" x14ac:dyDescent="0.25">
      <c r="A470" t="s">
        <v>348</v>
      </c>
      <c r="B470">
        <v>622</v>
      </c>
      <c r="C470">
        <v>173</v>
      </c>
    </row>
    <row r="471" spans="1:3" x14ac:dyDescent="0.25">
      <c r="A471" t="s">
        <v>510</v>
      </c>
      <c r="B471">
        <v>161</v>
      </c>
      <c r="C471">
        <v>92</v>
      </c>
    </row>
    <row r="472" spans="1:3" x14ac:dyDescent="0.25">
      <c r="A472" t="s">
        <v>493</v>
      </c>
      <c r="B472">
        <v>179</v>
      </c>
      <c r="C472">
        <v>126</v>
      </c>
    </row>
    <row r="473" spans="1:3" x14ac:dyDescent="0.25">
      <c r="A473" t="s">
        <v>447</v>
      </c>
      <c r="B473">
        <v>259</v>
      </c>
      <c r="C473">
        <v>122</v>
      </c>
    </row>
    <row r="474" spans="1:3" x14ac:dyDescent="0.25">
      <c r="A474" t="s">
        <v>445</v>
      </c>
      <c r="B474">
        <v>265</v>
      </c>
      <c r="C474">
        <v>312</v>
      </c>
    </row>
    <row r="475" spans="1:3" x14ac:dyDescent="0.25">
      <c r="A475" t="s">
        <v>505</v>
      </c>
      <c r="B475">
        <v>168</v>
      </c>
      <c r="C475">
        <v>61</v>
      </c>
    </row>
    <row r="476" spans="1:3" x14ac:dyDescent="0.25">
      <c r="A476" t="s">
        <v>376</v>
      </c>
      <c r="B476">
        <v>462</v>
      </c>
      <c r="C476">
        <v>972</v>
      </c>
    </row>
    <row r="477" spans="1:3" x14ac:dyDescent="0.25">
      <c r="A477" t="s">
        <v>275</v>
      </c>
      <c r="B477">
        <v>4687</v>
      </c>
      <c r="C477">
        <v>3526</v>
      </c>
    </row>
    <row r="478" spans="1:3" x14ac:dyDescent="0.25">
      <c r="A478" t="s">
        <v>478</v>
      </c>
      <c r="B478">
        <v>191</v>
      </c>
      <c r="C478">
        <v>94</v>
      </c>
    </row>
    <row r="479" spans="1:3" x14ac:dyDescent="0.25">
      <c r="A479" t="s">
        <v>466</v>
      </c>
      <c r="B479">
        <v>211</v>
      </c>
      <c r="C479">
        <v>97</v>
      </c>
    </row>
    <row r="480" spans="1:3" x14ac:dyDescent="0.25">
      <c r="A480" t="s">
        <v>257</v>
      </c>
      <c r="B480">
        <v>21380</v>
      </c>
      <c r="C480">
        <v>15049</v>
      </c>
    </row>
    <row r="481" spans="1:3" x14ac:dyDescent="0.25">
      <c r="A481" t="s">
        <v>325</v>
      </c>
      <c r="B481">
        <v>950</v>
      </c>
      <c r="C481">
        <v>576</v>
      </c>
    </row>
    <row r="482" spans="1:3" x14ac:dyDescent="0.25">
      <c r="A482" t="s">
        <v>264</v>
      </c>
      <c r="B482">
        <v>10200</v>
      </c>
      <c r="C482">
        <v>23801</v>
      </c>
    </row>
    <row r="483" spans="1:3" x14ac:dyDescent="0.25">
      <c r="A483" t="s">
        <v>485</v>
      </c>
      <c r="B483">
        <v>184</v>
      </c>
      <c r="C483">
        <v>102</v>
      </c>
    </row>
    <row r="484" spans="1:3" x14ac:dyDescent="0.25">
      <c r="A484" t="s">
        <v>261</v>
      </c>
      <c r="B484">
        <v>11293</v>
      </c>
      <c r="C484">
        <v>6766</v>
      </c>
    </row>
    <row r="485" spans="1:3" x14ac:dyDescent="0.25">
      <c r="A485" t="s">
        <v>494</v>
      </c>
      <c r="B485">
        <v>178</v>
      </c>
      <c r="C485">
        <v>145</v>
      </c>
    </row>
    <row r="486" spans="1:3" x14ac:dyDescent="0.25">
      <c r="A486" t="s">
        <v>428</v>
      </c>
      <c r="B486">
        <v>311</v>
      </c>
      <c r="C486">
        <v>172</v>
      </c>
    </row>
    <row r="487" spans="1:3" x14ac:dyDescent="0.25">
      <c r="A487" t="s">
        <v>399</v>
      </c>
      <c r="B487">
        <v>373</v>
      </c>
      <c r="C487">
        <v>387</v>
      </c>
    </row>
    <row r="488" spans="1:3" x14ac:dyDescent="0.25">
      <c r="A488" t="s">
        <v>521</v>
      </c>
      <c r="B488">
        <v>149</v>
      </c>
      <c r="C488">
        <v>93</v>
      </c>
    </row>
    <row r="489" spans="1:3" x14ac:dyDescent="0.25">
      <c r="A489" t="s">
        <v>400</v>
      </c>
      <c r="B489">
        <v>370</v>
      </c>
      <c r="C489">
        <v>58</v>
      </c>
    </row>
    <row r="490" spans="1:3" x14ac:dyDescent="0.25">
      <c r="A490" t="s">
        <v>294</v>
      </c>
      <c r="B490">
        <v>3016</v>
      </c>
      <c r="C490">
        <v>553</v>
      </c>
    </row>
    <row r="491" spans="1:3" x14ac:dyDescent="0.25">
      <c r="A491" t="s">
        <v>323</v>
      </c>
      <c r="B491">
        <v>1085</v>
      </c>
      <c r="C491">
        <v>385</v>
      </c>
    </row>
    <row r="492" spans="1:3" x14ac:dyDescent="0.25">
      <c r="A492" t="s">
        <v>378</v>
      </c>
      <c r="B492">
        <v>461</v>
      </c>
      <c r="C492">
        <v>58</v>
      </c>
    </row>
    <row r="493" spans="1:3" x14ac:dyDescent="0.25">
      <c r="A493" t="s">
        <v>303</v>
      </c>
      <c r="B493">
        <v>2180</v>
      </c>
      <c r="C493">
        <v>206</v>
      </c>
    </row>
    <row r="494" spans="1:3" x14ac:dyDescent="0.25">
      <c r="A494" t="s">
        <v>539</v>
      </c>
      <c r="B494">
        <v>133</v>
      </c>
      <c r="C494">
        <v>282</v>
      </c>
    </row>
    <row r="495" spans="1:3" x14ac:dyDescent="0.25">
      <c r="A495" t="s">
        <v>372</v>
      </c>
      <c r="B495">
        <v>500</v>
      </c>
      <c r="C495">
        <v>273</v>
      </c>
    </row>
    <row r="496" spans="1:3" x14ac:dyDescent="0.25">
      <c r="A496" t="s">
        <v>490</v>
      </c>
      <c r="B496">
        <v>181</v>
      </c>
      <c r="C496">
        <v>105</v>
      </c>
    </row>
    <row r="497" spans="1:3" x14ac:dyDescent="0.25">
      <c r="A497" t="s">
        <v>520</v>
      </c>
      <c r="B497">
        <v>150</v>
      </c>
      <c r="C497">
        <v>42</v>
      </c>
    </row>
    <row r="498" spans="1:3" x14ac:dyDescent="0.25">
      <c r="A498" t="s">
        <v>484</v>
      </c>
      <c r="B498">
        <v>185</v>
      </c>
      <c r="C498">
        <v>141</v>
      </c>
    </row>
    <row r="499" spans="1:3" x14ac:dyDescent="0.25">
      <c r="A499" t="s">
        <v>525</v>
      </c>
      <c r="B499">
        <v>147</v>
      </c>
      <c r="C499">
        <v>139</v>
      </c>
    </row>
    <row r="500" spans="1:3" x14ac:dyDescent="0.25">
      <c r="A500" t="s">
        <v>342</v>
      </c>
      <c r="B500">
        <v>714</v>
      </c>
      <c r="C500">
        <v>715</v>
      </c>
    </row>
    <row r="501" spans="1:3" x14ac:dyDescent="0.25">
      <c r="A501" t="s">
        <v>528</v>
      </c>
      <c r="B501">
        <v>144</v>
      </c>
      <c r="C501">
        <v>54</v>
      </c>
    </row>
    <row r="502" spans="1:3" x14ac:dyDescent="0.25">
      <c r="A502" t="s">
        <v>438</v>
      </c>
      <c r="B502">
        <v>272</v>
      </c>
      <c r="C502">
        <v>72</v>
      </c>
    </row>
    <row r="503" spans="1:3" x14ac:dyDescent="0.25">
      <c r="A503" t="s">
        <v>354</v>
      </c>
      <c r="B503">
        <v>576</v>
      </c>
      <c r="C503">
        <v>834</v>
      </c>
    </row>
    <row r="504" spans="1:3" x14ac:dyDescent="0.25">
      <c r="A504" t="s">
        <v>479</v>
      </c>
      <c r="B504">
        <v>190</v>
      </c>
      <c r="C504">
        <v>32</v>
      </c>
    </row>
    <row r="505" spans="1:3" x14ac:dyDescent="0.25">
      <c r="A505" t="s">
        <v>420</v>
      </c>
      <c r="B505">
        <v>335</v>
      </c>
      <c r="C505">
        <v>84</v>
      </c>
    </row>
    <row r="506" spans="1:3" x14ac:dyDescent="0.25">
      <c r="A506" t="s">
        <v>455</v>
      </c>
      <c r="B506">
        <v>239</v>
      </c>
      <c r="C506">
        <v>36</v>
      </c>
    </row>
    <row r="507" spans="1:3" x14ac:dyDescent="0.25">
      <c r="A507" t="s">
        <v>472</v>
      </c>
      <c r="B507">
        <v>196</v>
      </c>
      <c r="C507">
        <v>85</v>
      </c>
    </row>
    <row r="508" spans="1:3" x14ac:dyDescent="0.25">
      <c r="A508" t="s">
        <v>427</v>
      </c>
      <c r="B508">
        <v>313</v>
      </c>
      <c r="C508">
        <v>183</v>
      </c>
    </row>
    <row r="509" spans="1:3" x14ac:dyDescent="0.25">
      <c r="A509" t="s">
        <v>542</v>
      </c>
      <c r="B509">
        <v>132</v>
      </c>
      <c r="C509">
        <v>191</v>
      </c>
    </row>
    <row r="510" spans="1:3" x14ac:dyDescent="0.25">
      <c r="A510" t="s">
        <v>319</v>
      </c>
      <c r="B510">
        <v>1344</v>
      </c>
      <c r="C510">
        <v>1959</v>
      </c>
    </row>
    <row r="511" spans="1:3" x14ac:dyDescent="0.25">
      <c r="A511" t="s">
        <v>538</v>
      </c>
      <c r="B511">
        <v>133</v>
      </c>
      <c r="C511">
        <v>33</v>
      </c>
    </row>
    <row r="512" spans="1:3" x14ac:dyDescent="0.25">
      <c r="A512" t="s">
        <v>512</v>
      </c>
      <c r="B512">
        <v>159</v>
      </c>
      <c r="C512">
        <v>143</v>
      </c>
    </row>
    <row r="513" spans="1:3" x14ac:dyDescent="0.25">
      <c r="A513" t="s">
        <v>266</v>
      </c>
      <c r="B513">
        <v>9762</v>
      </c>
      <c r="C513">
        <v>5852</v>
      </c>
    </row>
    <row r="514" spans="1:3" x14ac:dyDescent="0.25">
      <c r="A514" t="s">
        <v>496</v>
      </c>
      <c r="B514">
        <v>177</v>
      </c>
      <c r="C514">
        <v>353</v>
      </c>
    </row>
    <row r="515" spans="1:3" x14ac:dyDescent="0.25">
      <c r="A515" t="s">
        <v>299</v>
      </c>
      <c r="B515">
        <v>2556</v>
      </c>
      <c r="C515">
        <v>830</v>
      </c>
    </row>
    <row r="516" spans="1:3" x14ac:dyDescent="0.25">
      <c r="A516" t="s">
        <v>475</v>
      </c>
      <c r="B516">
        <v>193</v>
      </c>
      <c r="C516">
        <v>372</v>
      </c>
    </row>
    <row r="517" spans="1:3" x14ac:dyDescent="0.25">
      <c r="A517" t="s">
        <v>353</v>
      </c>
      <c r="B517">
        <v>579</v>
      </c>
      <c r="C517">
        <v>371</v>
      </c>
    </row>
    <row r="518" spans="1:3" x14ac:dyDescent="0.25">
      <c r="A518" t="s">
        <v>446</v>
      </c>
      <c r="B518">
        <v>265</v>
      </c>
      <c r="C518">
        <v>330</v>
      </c>
    </row>
    <row r="519" spans="1:3" x14ac:dyDescent="0.25">
      <c r="A519" t="s">
        <v>318</v>
      </c>
      <c r="B519">
        <v>1363</v>
      </c>
      <c r="C519">
        <v>1231</v>
      </c>
    </row>
    <row r="520" spans="1:3" x14ac:dyDescent="0.25">
      <c r="A520" t="s">
        <v>351</v>
      </c>
      <c r="B520">
        <v>609</v>
      </c>
      <c r="C520">
        <v>79</v>
      </c>
    </row>
    <row r="521" spans="1:3" x14ac:dyDescent="0.25">
      <c r="A521" t="s">
        <v>540</v>
      </c>
      <c r="B521">
        <v>132</v>
      </c>
      <c r="C521">
        <v>267</v>
      </c>
    </row>
    <row r="522" spans="1:3" x14ac:dyDescent="0.25">
      <c r="A522" t="s">
        <v>307</v>
      </c>
      <c r="B522">
        <v>1886</v>
      </c>
      <c r="C522">
        <v>910</v>
      </c>
    </row>
    <row r="523" spans="1:3" x14ac:dyDescent="0.25">
      <c r="A523" t="s">
        <v>408</v>
      </c>
      <c r="B523">
        <v>348</v>
      </c>
      <c r="C523">
        <v>256</v>
      </c>
    </row>
  </sheetData>
  <pageMargins left="0.7" right="0.7" top="0.75" bottom="0.75" header="0.3" footer="0.3"/>
  <pageSetup paperSize="9" orientation="portrait" horizontalDpi="0" verticalDpi="0"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Top250</vt:lpstr>
      <vt:lpstr>Sheet7</vt:lpstr>
      <vt:lpstr>Pré processamento</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Vinicius Suares</dc:creator>
  <cp:lastModifiedBy>Vinicius Suares</cp:lastModifiedBy>
  <dcterms:created xsi:type="dcterms:W3CDTF">2021-04-06T16:59:48Z</dcterms:created>
  <dcterms:modified xsi:type="dcterms:W3CDTF">2021-04-06T21:04:52Z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26150365-1146-45ed-9178-70f212f74c03</vt:lpwstr>
  </property>
</Properties>
</file>